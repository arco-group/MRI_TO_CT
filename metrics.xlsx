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ss\PycharmProjects\Progetto_Alessandro\Progetto_Alessandro\data\Metrics_folder\"/>
    </mc:Choice>
  </mc:AlternateContent>
  <xr:revisionPtr revIDLastSave="0" documentId="8_{B1501C3D-B9B1-48CD-8A36-01C6DB13C242}" xr6:coauthVersionLast="47" xr6:coauthVersionMax="47" xr10:uidLastSave="{00000000-0000-0000-0000-000000000000}"/>
  <bookViews>
    <workbookView xWindow="31890" yWindow="490" windowWidth="19420" windowHeight="1030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<sst xmlns="http://schemas.openxmlformats.org/spreadsheetml/2006/main" count="148" uniqueCount="31">
  <si>
    <t>Model</t>
  </si>
  <si>
    <t>District</t>
  </si>
  <si>
    <t>MSE_m</t>
  </si>
  <si>
    <t>PSNR_m</t>
  </si>
  <si>
    <t>VIF_m</t>
  </si>
  <si>
    <t>SSIM_m</t>
  </si>
  <si>
    <t>LPIPS_m</t>
  </si>
  <si>
    <t>FID_m</t>
  </si>
  <si>
    <t>Pix2Pix</t>
  </si>
  <si>
    <t>AB</t>
  </si>
  <si>
    <t>HN</t>
  </si>
  <si>
    <t>TH</t>
  </si>
  <si>
    <t>ALL_AB</t>
  </si>
  <si>
    <t>ALL_HN</t>
  </si>
  <si>
    <t>ALL_TH</t>
  </si>
  <si>
    <t>ALL</t>
  </si>
  <si>
    <t>CycleGAN</t>
  </si>
  <si>
    <t>PixelDA</t>
  </si>
  <si>
    <t>MSE_std</t>
  </si>
  <si>
    <t>PSNR_std</t>
  </si>
  <si>
    <t>VIF_std</t>
  </si>
  <si>
    <t>SSIM_std</t>
  </si>
  <si>
    <t>LPIPS_std</t>
  </si>
  <si>
    <t>FID_std</t>
  </si>
  <si>
    <t>UNIT</t>
  </si>
  <si>
    <t>Bicyclegan</t>
  </si>
  <si>
    <t>MUNIT</t>
  </si>
  <si>
    <t>Dualgan</t>
  </si>
  <si>
    <t>Discogan</t>
  </si>
  <si>
    <t>Cogan</t>
  </si>
  <si>
    <t>StarGAN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</si>
</sst>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9" xfId="0" applyBorder="1"/>
    <xf numFmtId="0" fontId="0" fillId="0" borderId="13" xfId="0" applyBorder="1"/>
    <xf numFmtId="0" fontId="2" fillId="2" borderId="20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1">
    <cellStyle name="Normale" xfId="0" builtinId="0"/>
  </cellStyles>
  <dxfs count="72"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zoomScaleNormal="100" workbookViewId="0">
      <pane ySplit="1" topLeftCell="A2" activePane="bottomLeft" state="frozen"/>
      <selection pane="bottomLeft" activeCell="P8" sqref="P8"/>
    </sheetView>
  </sheetViews>
  <sheetFormatPr defaultRowHeight="14.4" x14ac:dyDescent="0.55000000000000004"/>
  <cols>
    <col min="1" max="1" width="14.47265625" customWidth="1"/>
    <col min="2" max="2" width="16.47265625" customWidth="1"/>
    <col min="3" max="3" width="10.734375" customWidth="1"/>
    <col min="4" max="4" width="17.26171875" customWidth="1"/>
    <col min="12" max="12" width="10.20703125" customWidth="1"/>
    <col min="15" max="15" width="12.15625" customWidth="1"/>
    <col min="16" max="16" width="11.1015625" customWidth="1"/>
    <col min="17" max="19" width="12.26171875" customWidth="1"/>
  </cols>
  <sheetData>
    <row r="1" spans="1:14" s="1" customFormat="1" ht="14.7" customHeight="1" thickBot="1" x14ac:dyDescent="0.6">
      <c r="A1" s="13" t="s">
        <v>0</v>
      </c>
      <c r="B1" s="13" t="s">
        <v>1</v>
      </c>
      <c r="C1" s="27" t="s">
        <v>2</v>
      </c>
      <c r="D1" s="14" t="s">
        <v>18</v>
      </c>
      <c r="E1" s="14" t="s">
        <v>3</v>
      </c>
      <c r="F1" s="14" t="s">
        <v>19</v>
      </c>
      <c r="G1" s="14" t="s">
        <v>4</v>
      </c>
      <c r="H1" s="14" t="s">
        <v>20</v>
      </c>
      <c r="I1" s="14" t="s">
        <v>5</v>
      </c>
      <c r="J1" s="14" t="s">
        <v>21</v>
      </c>
      <c r="K1" s="14" t="s">
        <v>6</v>
      </c>
      <c r="L1" s="14" t="s">
        <v>22</v>
      </c>
      <c r="M1" s="14" t="s">
        <v>7</v>
      </c>
      <c r="N1" s="14" t="s">
        <v>23</v>
      </c>
    </row>
    <row r="2" spans="1:14" ht="14.7" customHeight="1" x14ac:dyDescent="0.55000000000000004">
      <c r="A2" s="3" t="s">
        <v>8</v>
      </c>
      <c r="B2" s="16" t="s">
        <v>9</v>
      </c>
      <c r="C2" s="3">
        <v>1.2050884389135701E-2</v>
      </c>
      <c r="D2" s="5">
        <v>4.3301155168735749E-4</v>
      </c>
      <c r="E2" s="3">
        <v>29.11436295053123</v>
      </c>
      <c r="F2" s="5">
        <v>0.12371774494512459</v>
      </c>
      <c r="G2" s="3">
        <v>0.1013005737856404</v>
      </c>
      <c r="H2" s="5">
        <v>1.3965562661719089E-3</v>
      </c>
      <c r="I2" s="3">
        <v>0.73679303436965138</v>
      </c>
      <c r="J2" s="5">
        <v>1.3625966488747981E-3</v>
      </c>
      <c r="K2" s="3">
        <v>0.17043242123755961</v>
      </c>
      <c r="L2" s="5">
        <v>4.4591691021434099E-3</v>
      </c>
      <c r="M2" s="3">
        <v>71.478033100297722</v>
      </c>
      <c r="N2" s="5">
        <v>7.1690640808841097</v>
      </c>
    </row>
    <row r="3" spans="1:14" ht="14.7" customHeight="1" x14ac:dyDescent="0.55000000000000004">
      <c r="A3" s="6" t="s">
        <v>8</v>
      </c>
      <c r="B3" s="17" t="s">
        <v>10</v>
      </c>
      <c r="C3" s="6">
        <v>2.0195396345173401E-2</v>
      </c>
      <c r="D3" s="7">
        <v>1.161100879438703E-3</v>
      </c>
      <c r="E3" s="6">
        <v>28.279699989776791</v>
      </c>
      <c r="F3" s="7">
        <v>0.36753417981240621</v>
      </c>
      <c r="G3" s="6">
        <v>0.1066262106346296</v>
      </c>
      <c r="H3" s="7">
        <v>9.6285349220002741E-3</v>
      </c>
      <c r="I3" s="6">
        <v>0.86835849374514196</v>
      </c>
      <c r="J3" s="7">
        <v>3.811040765708961E-3</v>
      </c>
      <c r="K3" s="6">
        <v>0.15586108910058841</v>
      </c>
      <c r="L3" s="7">
        <v>5.6989438284757773E-3</v>
      </c>
      <c r="M3" s="6">
        <v>77.094097906522123</v>
      </c>
      <c r="N3" s="7">
        <v>9.8901171097755487</v>
      </c>
    </row>
    <row r="4" spans="1:14" ht="14.7" customHeight="1" x14ac:dyDescent="0.55000000000000004">
      <c r="A4" s="6" t="s">
        <v>8</v>
      </c>
      <c r="B4" s="17" t="s">
        <v>11</v>
      </c>
      <c r="C4" s="6">
        <v>1.047686802893795E-2</v>
      </c>
      <c r="D4" s="7">
        <v>4.3096877919665631E-4</v>
      </c>
      <c r="E4" s="6">
        <v>29.865996586476829</v>
      </c>
      <c r="F4" s="7">
        <v>0.19789488269415059</v>
      </c>
      <c r="G4" s="6">
        <v>0.13154947262920061</v>
      </c>
      <c r="H4" s="7">
        <v>3.9258397380303733E-3</v>
      </c>
      <c r="I4" s="6">
        <v>0.81402852120118774</v>
      </c>
      <c r="J4" s="7">
        <v>4.8169821746045782E-3</v>
      </c>
      <c r="K4" s="6">
        <v>0.15497882850598729</v>
      </c>
      <c r="L4" s="7">
        <v>4.4568706480677704E-3</v>
      </c>
      <c r="M4" s="6">
        <v>70.768988611993535</v>
      </c>
      <c r="N4" s="7">
        <v>4.6222222226008469</v>
      </c>
    </row>
    <row r="5" spans="1:14" ht="14.7" customHeight="1" x14ac:dyDescent="0.55000000000000004">
      <c r="A5" s="6" t="s">
        <v>8</v>
      </c>
      <c r="B5" s="17" t="s">
        <v>12</v>
      </c>
      <c r="C5" s="6">
        <v>8.8211048012619558E-3</v>
      </c>
      <c r="D5" s="7">
        <v>7.4357208307230551E-4</v>
      </c>
      <c r="E5" s="6">
        <v>21.200522259073459</v>
      </c>
      <c r="F5" s="7">
        <v>0.39492110688721238</v>
      </c>
      <c r="G5" s="6">
        <v>0.15281389367914139</v>
      </c>
      <c r="H5" s="7">
        <v>1.21268599003848E-2</v>
      </c>
      <c r="I5" s="6">
        <v>0.75964506472001947</v>
      </c>
      <c r="J5" s="7">
        <v>1.1004834561602429E-2</v>
      </c>
      <c r="K5" s="6">
        <v>0.14331752660172339</v>
      </c>
      <c r="L5" s="7">
        <v>8.8190085043300896E-3</v>
      </c>
      <c r="M5" s="6">
        <v>45.448893669058393</v>
      </c>
      <c r="N5" s="7">
        <v>5.0042139121932667</v>
      </c>
    </row>
    <row r="6" spans="1:14" ht="14.7" customHeight="1" x14ac:dyDescent="0.55000000000000004">
      <c r="A6" s="6" t="s">
        <v>8</v>
      </c>
      <c r="B6" s="17" t="s">
        <v>13</v>
      </c>
      <c r="C6" s="6">
        <v>1.4781702050846531E-2</v>
      </c>
      <c r="D6" s="7">
        <v>1.1018841132863549E-3</v>
      </c>
      <c r="E6" s="6">
        <v>19.99182614677909</v>
      </c>
      <c r="F6" s="7">
        <v>0.32760754772722522</v>
      </c>
      <c r="G6" s="6">
        <v>0.1377507977420776</v>
      </c>
      <c r="H6" s="7">
        <v>8.9439824540987513E-3</v>
      </c>
      <c r="I6" s="6">
        <v>0.87570565120475563</v>
      </c>
      <c r="J6" s="7">
        <v>4.1583518194764028E-3</v>
      </c>
      <c r="K6" s="6">
        <v>0.13567727919093189</v>
      </c>
      <c r="L6" s="7">
        <v>5.0244197139827319E-3</v>
      </c>
      <c r="M6" s="6">
        <v>43.554235604228992</v>
      </c>
      <c r="N6" s="7">
        <v>2.795338848618294</v>
      </c>
    </row>
    <row r="7" spans="1:14" ht="14.7" customHeight="1" x14ac:dyDescent="0.55000000000000004">
      <c r="A7" s="6" t="s">
        <v>8</v>
      </c>
      <c r="B7" s="17" t="s">
        <v>14</v>
      </c>
      <c r="C7" s="6">
        <v>8.1529766413966642E-3</v>
      </c>
      <c r="D7" s="7">
        <v>5.0661714187875148E-4</v>
      </c>
      <c r="E7" s="6">
        <v>21.50640034429372</v>
      </c>
      <c r="F7" s="7">
        <v>0.31125129843406191</v>
      </c>
      <c r="G7" s="6">
        <v>0.1730830657604335</v>
      </c>
      <c r="H7" s="7">
        <v>1.3902720033356041E-2</v>
      </c>
      <c r="I7" s="6">
        <v>0.82919449277941903</v>
      </c>
      <c r="J7" s="7">
        <v>8.1557990938121976E-3</v>
      </c>
      <c r="K7" s="6">
        <v>0.13210150088924899</v>
      </c>
      <c r="L7" s="7">
        <v>6.5143968841319582E-3</v>
      </c>
      <c r="M7" s="6">
        <v>37.911205430449989</v>
      </c>
      <c r="N7" s="7">
        <v>4.1171255874320467</v>
      </c>
    </row>
    <row r="8" spans="1:14" ht="14.7" customHeight="1" thickBot="1" x14ac:dyDescent="0.6">
      <c r="A8" s="19" t="s">
        <v>8</v>
      </c>
      <c r="B8" s="18" t="s">
        <v>15</v>
      </c>
      <c r="C8" s="10">
        <v>1.3254114839623519E-2</v>
      </c>
      <c r="D8" s="11">
        <v>2.6727635739505208E-4</v>
      </c>
      <c r="E8" s="10">
        <v>19.615618666581131</v>
      </c>
      <c r="F8" s="11">
        <v>0.1247802842572488</v>
      </c>
      <c r="G8" s="10">
        <v>0.1148552407161748</v>
      </c>
      <c r="H8" s="11">
        <v>3.401899011627533E-3</v>
      </c>
      <c r="I8" s="10">
        <v>0.78140096270743442</v>
      </c>
      <c r="J8" s="11">
        <v>5.3489436476835926E-3</v>
      </c>
      <c r="K8" s="10">
        <v>0.15245341993272049</v>
      </c>
      <c r="L8" s="11">
        <v>4.3989226562131554E-3</v>
      </c>
      <c r="M8" s="10">
        <v>31.288201749568199</v>
      </c>
      <c r="N8" s="11">
        <v>2.7605057559445272</v>
      </c>
    </row>
    <row r="9" spans="1:14" ht="14.7" customHeight="1" x14ac:dyDescent="0.55000000000000004">
      <c r="A9" s="3" t="s">
        <v>16</v>
      </c>
      <c r="B9" s="16" t="s">
        <v>9</v>
      </c>
      <c r="C9" s="3">
        <v>1.524825372633324E-2</v>
      </c>
      <c r="D9" s="5">
        <v>8.3139292923318242E-5</v>
      </c>
      <c r="E9" s="3">
        <v>18.60529835149336</v>
      </c>
      <c r="F9" s="5">
        <v>2.3822212696322499E-2</v>
      </c>
      <c r="G9" s="3">
        <v>8.6992545976692301E-2</v>
      </c>
      <c r="H9" s="5">
        <v>2.3932200600719879E-3</v>
      </c>
      <c r="I9" s="3">
        <v>0.69051488312555231</v>
      </c>
      <c r="J9" s="5">
        <v>3.72201874279639E-3</v>
      </c>
      <c r="K9" s="3">
        <v>0.16662946457350911</v>
      </c>
      <c r="L9" s="5">
        <v>3.7647600084352679E-3</v>
      </c>
      <c r="M9" s="3">
        <v>35.114130736188137</v>
      </c>
      <c r="N9" s="5">
        <v>3.1731450686801721</v>
      </c>
    </row>
    <row r="10" spans="1:14" ht="14.7" customHeight="1" x14ac:dyDescent="0.55000000000000004">
      <c r="A10" s="6" t="s">
        <v>16</v>
      </c>
      <c r="B10" s="17" t="s">
        <v>10</v>
      </c>
      <c r="C10" s="6">
        <v>2.6973297806564302E-2</v>
      </c>
      <c r="D10" s="7">
        <v>1.3255552418756709E-3</v>
      </c>
      <c r="E10" s="6">
        <v>17.36229899137593</v>
      </c>
      <c r="F10" s="7">
        <v>0.22429325054624649</v>
      </c>
      <c r="G10" s="6">
        <v>7.7877520669253839E-2</v>
      </c>
      <c r="H10" s="7">
        <v>4.297564529802525E-3</v>
      </c>
      <c r="I10" s="6">
        <v>0.83847222532789356</v>
      </c>
      <c r="J10" s="7">
        <v>4.4010864802460133E-3</v>
      </c>
      <c r="K10" s="6">
        <v>0.1693901494152775</v>
      </c>
      <c r="L10" s="7">
        <v>3.805054310329843E-3</v>
      </c>
      <c r="M10" s="6">
        <v>48.040097374369807</v>
      </c>
      <c r="N10" s="7">
        <v>2.2839393359889728</v>
      </c>
    </row>
    <row r="11" spans="1:14" ht="14.7" customHeight="1" x14ac:dyDescent="0.55000000000000004">
      <c r="A11" s="6" t="s">
        <v>16</v>
      </c>
      <c r="B11" s="17" t="s">
        <v>11</v>
      </c>
      <c r="C11" s="6">
        <v>1.274817755280752E-2</v>
      </c>
      <c r="D11" s="7">
        <v>2.8527108658668408E-4</v>
      </c>
      <c r="E11" s="6">
        <v>19.493953612521931</v>
      </c>
      <c r="F11" s="7">
        <v>9.1131477739805955E-2</v>
      </c>
      <c r="G11" s="6">
        <v>0.1167281276306574</v>
      </c>
      <c r="H11" s="7">
        <v>2.3794505720486359E-3</v>
      </c>
      <c r="I11" s="6">
        <v>0.78372630704397683</v>
      </c>
      <c r="J11" s="7">
        <v>4.2406129554164547E-3</v>
      </c>
      <c r="K11" s="6">
        <v>0.14492097427845749</v>
      </c>
      <c r="L11" s="7">
        <v>4.2105918640494558E-3</v>
      </c>
      <c r="M11" s="6">
        <v>30.559513996550169</v>
      </c>
      <c r="N11" s="7">
        <v>2.3873855471240182</v>
      </c>
    </row>
    <row r="12" spans="1:14" ht="14.7" customHeight="1" x14ac:dyDescent="0.55000000000000004">
      <c r="A12" s="6" t="s">
        <v>16</v>
      </c>
      <c r="B12" s="17" t="s">
        <v>12</v>
      </c>
      <c r="C12" s="6">
        <v>1.351048637745789E-2</v>
      </c>
      <c r="D12" s="7">
        <v>3.4713522162640141E-4</v>
      </c>
      <c r="E12" s="6">
        <v>19.17049237731359</v>
      </c>
      <c r="F12" s="7">
        <v>0.11075383152114029</v>
      </c>
      <c r="G12" s="6">
        <v>0.10039615457069841</v>
      </c>
      <c r="H12" s="7">
        <v>1.6171244840530029E-3</v>
      </c>
      <c r="I12" s="6">
        <v>0.70664344243824551</v>
      </c>
      <c r="J12" s="7">
        <v>4.1021635183917096E-3</v>
      </c>
      <c r="K12" s="6">
        <v>0.14872612942584151</v>
      </c>
      <c r="L12" s="7">
        <v>2.190060083808397E-3</v>
      </c>
      <c r="M12" s="6">
        <v>25.702490187748289</v>
      </c>
      <c r="N12" s="7">
        <v>0.81245041616224734</v>
      </c>
    </row>
    <row r="13" spans="1:14" ht="14.7" customHeight="1" x14ac:dyDescent="0.55000000000000004">
      <c r="A13" s="6" t="s">
        <v>16</v>
      </c>
      <c r="B13" s="17" t="s">
        <v>13</v>
      </c>
      <c r="C13" s="6">
        <v>2.5807124050993401E-2</v>
      </c>
      <c r="D13" s="7">
        <v>7.9680977438263613E-4</v>
      </c>
      <c r="E13" s="6">
        <v>17.623762144852151</v>
      </c>
      <c r="F13" s="7">
        <v>0.13421358634835709</v>
      </c>
      <c r="G13" s="6">
        <v>8.7061433888817222E-2</v>
      </c>
      <c r="H13" s="7">
        <v>3.1534441343804092E-3</v>
      </c>
      <c r="I13" s="6">
        <v>0.84239439924240211</v>
      </c>
      <c r="J13" s="7">
        <v>2.7346276963124338E-3</v>
      </c>
      <c r="K13" s="6">
        <v>0.16783248699291481</v>
      </c>
      <c r="L13" s="7">
        <v>3.696837513927092E-3</v>
      </c>
      <c r="M13" s="6">
        <v>35.947434244088278</v>
      </c>
      <c r="N13" s="7">
        <v>2.48202776645428</v>
      </c>
    </row>
    <row r="14" spans="1:14" ht="14.7" customHeight="1" x14ac:dyDescent="0.55000000000000004">
      <c r="A14" s="6" t="s">
        <v>16</v>
      </c>
      <c r="B14" s="17" t="s">
        <v>14</v>
      </c>
      <c r="C14" s="6">
        <v>1.230317635818208E-2</v>
      </c>
      <c r="D14" s="7">
        <v>4.6519388030553629E-4</v>
      </c>
      <c r="E14" s="6">
        <v>19.671627349068231</v>
      </c>
      <c r="F14" s="7">
        <v>0.1519583272199648</v>
      </c>
      <c r="G14" s="6">
        <v>0.12164796212676909</v>
      </c>
      <c r="H14" s="7">
        <v>2.7249945126441E-3</v>
      </c>
      <c r="I14" s="6">
        <v>0.78735946844108962</v>
      </c>
      <c r="J14" s="7">
        <v>5.822132985224061E-3</v>
      </c>
      <c r="K14" s="6">
        <v>0.13562560401089899</v>
      </c>
      <c r="L14" s="7">
        <v>2.9146872436802852E-3</v>
      </c>
      <c r="M14" s="6">
        <v>21.490441123399179</v>
      </c>
      <c r="N14" s="7">
        <v>1.071536687022848</v>
      </c>
    </row>
    <row r="15" spans="1:14" ht="14.7" customHeight="1" thickBot="1" x14ac:dyDescent="0.6">
      <c r="A15" s="12" t="s">
        <v>16</v>
      </c>
      <c r="B15" s="18" t="s">
        <v>15</v>
      </c>
      <c r="C15" s="10">
        <v>1.5966341803792861E-2</v>
      </c>
      <c r="D15" s="11">
        <v>2.9220529368621058E-4</v>
      </c>
      <c r="E15" s="10">
        <v>18.94603172955053</v>
      </c>
      <c r="F15" s="11">
        <v>8.4480865284200263E-2</v>
      </c>
      <c r="G15" s="10">
        <v>0.1044660595710198</v>
      </c>
      <c r="H15" s="11">
        <v>1.705080720075451E-3</v>
      </c>
      <c r="I15" s="10">
        <v>0.76864340734769743</v>
      </c>
      <c r="J15" s="11">
        <v>2.98090017846962E-3</v>
      </c>
      <c r="K15" s="10">
        <v>0.15022267100784309</v>
      </c>
      <c r="L15" s="11">
        <v>1.6840097395989129E-3</v>
      </c>
      <c r="M15" s="10">
        <v>16.798027939845589</v>
      </c>
      <c r="N15" s="11">
        <v>1.0780343853307319</v>
      </c>
    </row>
    <row r="16" spans="1:14" x14ac:dyDescent="0.55000000000000004">
      <c r="A16" s="3" t="s">
        <v>24</v>
      </c>
      <c r="B16" s="4" t="s">
        <v>9</v>
      </c>
      <c r="C16" s="4">
        <v>1.229328862277828E-2</v>
      </c>
      <c r="D16" s="4">
        <v>4.7097711106513617E-4</v>
      </c>
      <c r="E16" s="4">
        <v>19.589124775286152</v>
      </c>
      <c r="F16" s="4">
        <v>0.1567577498718776</v>
      </c>
      <c r="G16" s="4">
        <v>0.10930939877540299</v>
      </c>
      <c r="H16" s="4">
        <v>2.545323620116397E-3</v>
      </c>
      <c r="I16" s="4">
        <v>0.72104795581882708</v>
      </c>
      <c r="J16" s="4">
        <v>4.5562394679911503E-3</v>
      </c>
      <c r="K16" s="4">
        <v>0.16300530718726561</v>
      </c>
      <c r="L16" s="4">
        <v>4.276770650166511E-3</v>
      </c>
      <c r="M16" s="4">
        <v>29.246439092080902</v>
      </c>
      <c r="N16" s="4">
        <v>1.885758361076816</v>
      </c>
    </row>
    <row r="17" spans="1:14" x14ac:dyDescent="0.55000000000000004">
      <c r="A17" s="6" t="s">
        <v>24</v>
      </c>
      <c r="B17" s="2" t="s">
        <v>10</v>
      </c>
      <c r="C17" s="2">
        <v>2.4509845671500361E-2</v>
      </c>
      <c r="D17" s="2">
        <v>6.3325707629159058E-4</v>
      </c>
      <c r="E17" s="2">
        <v>18.121597748555502</v>
      </c>
      <c r="F17" s="2">
        <v>0.1169578434395027</v>
      </c>
      <c r="G17" s="2">
        <v>9.5555127298983855E-2</v>
      </c>
      <c r="H17" s="2">
        <v>2.2401717794992252E-3</v>
      </c>
      <c r="I17" s="2">
        <v>0.8506051012133955</v>
      </c>
      <c r="J17" s="2">
        <v>3.3353836952457689E-3</v>
      </c>
      <c r="K17" s="2">
        <v>0.17894047393073181</v>
      </c>
      <c r="L17" s="2">
        <v>6.7721185823971779E-3</v>
      </c>
      <c r="M17" s="2">
        <v>52.649234708623673</v>
      </c>
      <c r="N17" s="2">
        <v>7.6192787838779026</v>
      </c>
    </row>
    <row r="18" spans="1:14" x14ac:dyDescent="0.55000000000000004">
      <c r="A18" s="6" t="s">
        <v>24</v>
      </c>
      <c r="B18" s="2" t="s">
        <v>11</v>
      </c>
      <c r="C18" s="2">
        <v>1.095929135610034E-2</v>
      </c>
      <c r="D18" s="2">
        <v>2.308102877599776E-4</v>
      </c>
      <c r="E18" s="2">
        <v>20.266237907745779</v>
      </c>
      <c r="F18" s="2">
        <v>0.10152612482238089</v>
      </c>
      <c r="G18" s="2">
        <v>0.13671963960891539</v>
      </c>
      <c r="H18" s="2">
        <v>2.5950897970646722E-3</v>
      </c>
      <c r="I18" s="2">
        <v>0.80475436861240746</v>
      </c>
      <c r="J18" s="2">
        <v>4.2691217086589257E-3</v>
      </c>
      <c r="K18" s="2">
        <v>0.1452615479849689</v>
      </c>
      <c r="L18" s="2">
        <v>3.9987807049709006E-3</v>
      </c>
      <c r="M18" s="2">
        <v>23.74063488697319</v>
      </c>
      <c r="N18" s="2">
        <v>1.0661086159069431</v>
      </c>
    </row>
    <row r="19" spans="1:14" x14ac:dyDescent="0.55000000000000004">
      <c r="A19" s="6" t="s">
        <v>24</v>
      </c>
      <c r="B19" s="2" t="s">
        <v>12</v>
      </c>
      <c r="C19">
        <v>1.240580380000059E-2</v>
      </c>
      <c r="D19">
        <v>3.8200357061102421E-4</v>
      </c>
      <c r="E19">
        <v>19.583567602360421</v>
      </c>
      <c r="F19">
        <v>0.14229047042453541</v>
      </c>
      <c r="G19">
        <v>0.1101172830295394</v>
      </c>
      <c r="H19">
        <v>2.8209594117011411E-3</v>
      </c>
      <c r="I19">
        <v>0.72038108249704058</v>
      </c>
      <c r="J19">
        <v>5.7252642277279683E-3</v>
      </c>
      <c r="K19">
        <v>0.1626470557217079</v>
      </c>
      <c r="L19">
        <v>2.6788154480102519E-3</v>
      </c>
      <c r="M19">
        <v>27.277151668280951</v>
      </c>
      <c r="N19">
        <v>1.2989924939677771</v>
      </c>
    </row>
    <row r="20" spans="1:14" x14ac:dyDescent="0.55000000000000004">
      <c r="A20" s="6" t="s">
        <v>24</v>
      </c>
      <c r="B20" s="2" t="s">
        <v>13</v>
      </c>
      <c r="C20">
        <v>2.4065227137182128E-2</v>
      </c>
      <c r="D20">
        <v>7.5292020396454471E-4</v>
      </c>
      <c r="E20">
        <v>18.308934827979449</v>
      </c>
      <c r="F20">
        <v>9.9734466281168305E-2</v>
      </c>
      <c r="G20">
        <v>0.1048891648056365</v>
      </c>
      <c r="H20">
        <v>3.0740270736908941E-3</v>
      </c>
      <c r="I20">
        <v>0.85031480825700889</v>
      </c>
      <c r="J20">
        <v>1.4500163811944061E-3</v>
      </c>
      <c r="K20">
        <v>0.16646054480528061</v>
      </c>
      <c r="L20">
        <v>1.004924253128952E-3</v>
      </c>
      <c r="M20">
        <v>36.503669705691557</v>
      </c>
      <c r="N20">
        <v>1.47903304618866</v>
      </c>
    </row>
    <row r="21" spans="1:14" x14ac:dyDescent="0.55000000000000004">
      <c r="A21" s="6" t="s">
        <v>24</v>
      </c>
      <c r="B21" s="2" t="s">
        <v>14</v>
      </c>
      <c r="C21">
        <v>1.0956688836693221E-2</v>
      </c>
      <c r="D21">
        <v>3.3563565625310192E-4</v>
      </c>
      <c r="E21">
        <v>20.245954554791449</v>
      </c>
      <c r="F21">
        <v>0.1498541038868669</v>
      </c>
      <c r="G21">
        <v>0.1359573090812278</v>
      </c>
      <c r="H21">
        <v>4.1762681220188251E-3</v>
      </c>
      <c r="I21">
        <v>0.80260578782237535</v>
      </c>
      <c r="J21">
        <v>5.3148173152156846E-3</v>
      </c>
      <c r="K21">
        <v>0.14373589736450629</v>
      </c>
      <c r="L21">
        <v>2.0309627099991362E-3</v>
      </c>
      <c r="M21">
        <v>22.512011419469971</v>
      </c>
      <c r="N21">
        <v>1.2104435618750431</v>
      </c>
    </row>
    <row r="22" spans="1:14" ht="14.7" customHeight="1" thickBot="1" x14ac:dyDescent="0.6">
      <c r="A22" s="28" t="s">
        <v>24</v>
      </c>
      <c r="B22" s="8" t="s">
        <v>15</v>
      </c>
      <c r="C22" s="8">
        <v>1.443470478371655E-2</v>
      </c>
      <c r="D22" s="8">
        <v>3.65742882703929E-4</v>
      </c>
      <c r="E22" s="8">
        <v>19.512571222198542</v>
      </c>
      <c r="F22" s="8">
        <v>0.1238287136835922</v>
      </c>
      <c r="G22" s="8">
        <v>0.11798236770541</v>
      </c>
      <c r="H22" s="8">
        <v>2.7978173281472409E-3</v>
      </c>
      <c r="I22" s="8">
        <v>0.78197306055480531</v>
      </c>
      <c r="J22" s="8">
        <v>4.0584908385157912E-3</v>
      </c>
      <c r="K22" s="8">
        <v>0.15677720929647371</v>
      </c>
      <c r="L22" s="8">
        <v>1.5290803857717741E-3</v>
      </c>
      <c r="M22" s="8">
        <v>17.288899688144848</v>
      </c>
      <c r="N22" s="8">
        <v>0.96201429369110791</v>
      </c>
    </row>
    <row r="23" spans="1:14" ht="14.7" customHeight="1" x14ac:dyDescent="0.55000000000000004">
      <c r="A23" s="3" t="s">
        <v>25</v>
      </c>
      <c r="B23" s="25" t="s">
        <v>9</v>
      </c>
      <c r="C23" s="26">
        <v>1.2526215746360311E-2</v>
      </c>
      <c r="D23" s="15">
        <v>3.5239863145821712E-4</v>
      </c>
      <c r="E23" s="26">
        <v>19.401355391727421</v>
      </c>
      <c r="F23" s="15">
        <v>0.10962598413607159</v>
      </c>
      <c r="G23" s="26">
        <v>9.8905460417858637E-2</v>
      </c>
      <c r="H23" s="15">
        <v>1.230499187419899E-3</v>
      </c>
      <c r="I23" s="26">
        <v>0.71892857210784167</v>
      </c>
      <c r="J23" s="15">
        <v>4.1843048438988629E-3</v>
      </c>
      <c r="K23" s="26">
        <v>0.168284348995</v>
      </c>
      <c r="L23" s="15">
        <v>2.6679049388332902E-3</v>
      </c>
      <c r="M23" s="26">
        <v>38.998361813868328</v>
      </c>
      <c r="N23" s="15">
        <v>2.3772752269281372</v>
      </c>
    </row>
    <row r="24" spans="1:14" ht="14.7" customHeight="1" x14ac:dyDescent="0.55000000000000004">
      <c r="A24" s="6" t="s">
        <v>25</v>
      </c>
      <c r="B24" s="17" t="s">
        <v>10</v>
      </c>
      <c r="C24" s="6">
        <v>2.1960905978450681E-2</v>
      </c>
      <c r="D24" s="7">
        <v>3.8418584544655477E-4</v>
      </c>
      <c r="E24" s="6">
        <v>18.47969774683212</v>
      </c>
      <c r="F24" s="7">
        <v>8.2949796607370063E-2</v>
      </c>
      <c r="G24" s="6">
        <v>0.102272302632298</v>
      </c>
      <c r="H24" s="7">
        <v>1.484017164297247E-3</v>
      </c>
      <c r="I24" s="6">
        <v>0.85919014270036187</v>
      </c>
      <c r="J24" s="7">
        <v>1.548026617733638E-3</v>
      </c>
      <c r="K24" s="6">
        <v>0.15054292855472659</v>
      </c>
      <c r="L24" s="7">
        <v>1.6488724416092509E-3</v>
      </c>
      <c r="M24" s="6">
        <v>43.329820811693118</v>
      </c>
      <c r="N24" s="7">
        <v>1.273294119719945</v>
      </c>
    </row>
    <row r="25" spans="1:14" ht="14.7" customHeight="1" x14ac:dyDescent="0.55000000000000004">
      <c r="A25" s="6" t="s">
        <v>25</v>
      </c>
      <c r="B25" s="17" t="s">
        <v>11</v>
      </c>
      <c r="C25" s="6">
        <v>1.1556242965526641E-2</v>
      </c>
      <c r="D25" s="7">
        <v>3.01594029525711E-4</v>
      </c>
      <c r="E25" s="6">
        <v>19.86434661574274</v>
      </c>
      <c r="F25" s="7">
        <v>0.1005875653799027</v>
      </c>
      <c r="G25" s="6">
        <v>0.12128305577376169</v>
      </c>
      <c r="H25" s="7">
        <v>8.1455759759680748E-4</v>
      </c>
      <c r="I25" s="6">
        <v>0.79513492972308353</v>
      </c>
      <c r="J25" s="7">
        <v>4.3070757290678196E-3</v>
      </c>
      <c r="K25" s="6">
        <v>0.15057438415967811</v>
      </c>
      <c r="L25" s="7">
        <v>2.3420676699610538E-3</v>
      </c>
      <c r="M25" s="6">
        <v>31.534799449069151</v>
      </c>
      <c r="N25" s="7">
        <v>1.2026152850554639</v>
      </c>
    </row>
    <row r="26" spans="1:14" ht="14.7" customHeight="1" x14ac:dyDescent="0.55000000000000004">
      <c r="A26" s="6" t="s">
        <v>25</v>
      </c>
      <c r="B26" s="17" t="s">
        <v>12</v>
      </c>
      <c r="C26" s="6">
        <v>1.0878362735905291E-2</v>
      </c>
      <c r="D26" s="7">
        <v>2.7319368678732539E-4</v>
      </c>
      <c r="E26" s="6">
        <v>20.10833877297291</v>
      </c>
      <c r="F26" s="7">
        <v>0.10321872498756381</v>
      </c>
      <c r="G26" s="6">
        <v>0.115307739005457</v>
      </c>
      <c r="H26" s="7">
        <v>1.5074772075924551E-3</v>
      </c>
      <c r="I26" s="6">
        <v>0.73505768206791622</v>
      </c>
      <c r="J26" s="7">
        <v>2.4804222045897522E-3</v>
      </c>
      <c r="K26" s="6">
        <v>0.15708244282752029</v>
      </c>
      <c r="L26" s="7">
        <v>3.3229223243457788E-3</v>
      </c>
      <c r="M26" s="6">
        <v>38.898941414872183</v>
      </c>
      <c r="N26" s="7">
        <v>1.6148439519776689</v>
      </c>
    </row>
    <row r="27" spans="1:14" ht="14.7" customHeight="1" x14ac:dyDescent="0.55000000000000004">
      <c r="A27" s="6" t="s">
        <v>25</v>
      </c>
      <c r="B27" s="17" t="s">
        <v>13</v>
      </c>
      <c r="C27" s="6">
        <v>1.9504852873600879E-2</v>
      </c>
      <c r="D27" s="7">
        <v>3.1117821389309367E-4</v>
      </c>
      <c r="E27" s="6">
        <v>19.109609927213022</v>
      </c>
      <c r="F27" s="7">
        <v>0.1295152764332152</v>
      </c>
      <c r="G27" s="6">
        <v>0.1123274770695798</v>
      </c>
      <c r="H27" s="7">
        <v>4.3586598660587403E-3</v>
      </c>
      <c r="I27" s="6">
        <v>0.86457150448204612</v>
      </c>
      <c r="J27" s="7">
        <v>1.8649292906039361E-3</v>
      </c>
      <c r="K27" s="6">
        <v>0.13617431160698229</v>
      </c>
      <c r="L27" s="7">
        <v>3.8656938695565391E-3</v>
      </c>
      <c r="M27" s="6">
        <v>37.745659128055728</v>
      </c>
      <c r="N27" s="7">
        <v>1.38165075224926</v>
      </c>
    </row>
    <row r="28" spans="1:14" ht="14.7" customHeight="1" x14ac:dyDescent="0.55000000000000004">
      <c r="A28" s="6" t="s">
        <v>25</v>
      </c>
      <c r="B28" s="17" t="s">
        <v>14</v>
      </c>
      <c r="C28" s="6">
        <v>1.013084204077612E-2</v>
      </c>
      <c r="D28" s="7">
        <v>4.061005154591767E-4</v>
      </c>
      <c r="E28" s="6">
        <v>20.582964738810421</v>
      </c>
      <c r="F28" s="7">
        <v>0.19590891846669259</v>
      </c>
      <c r="G28" s="6">
        <v>0.1381309329784616</v>
      </c>
      <c r="H28" s="7">
        <v>4.7619340931314069E-3</v>
      </c>
      <c r="I28" s="6">
        <v>0.8084978246338077</v>
      </c>
      <c r="J28" s="7">
        <v>5.6469933054170383E-3</v>
      </c>
      <c r="K28" s="6">
        <v>0.13736865233919779</v>
      </c>
      <c r="L28" s="7">
        <v>4.5710403429650654E-3</v>
      </c>
      <c r="M28" s="6">
        <v>26.155001309961321</v>
      </c>
      <c r="N28" s="7">
        <v>1.457715231564463</v>
      </c>
    </row>
    <row r="29" spans="1:14" ht="14.7" customHeight="1" thickBot="1" x14ac:dyDescent="0.6">
      <c r="A29" s="10" t="s">
        <v>25</v>
      </c>
      <c r="B29" s="18" t="s">
        <v>15</v>
      </c>
      <c r="C29" s="10">
        <v>1.393638539541439E-2</v>
      </c>
      <c r="D29" s="11">
        <v>2.3720157669239949E-4</v>
      </c>
      <c r="E29" s="10">
        <v>19.50102715386269</v>
      </c>
      <c r="F29" s="11">
        <v>9.562216040769185E-2</v>
      </c>
      <c r="G29" s="10">
        <v>0.11199858136666099</v>
      </c>
      <c r="H29" s="11">
        <v>1.8673443584529791E-3</v>
      </c>
      <c r="I29" s="10">
        <v>0.78445975887065544</v>
      </c>
      <c r="J29" s="11">
        <v>3.0607003827386741E-3</v>
      </c>
      <c r="K29" s="10">
        <v>0.15707194428217419</v>
      </c>
      <c r="L29" s="11">
        <v>2.3430828455721091E-3</v>
      </c>
      <c r="M29" s="10">
        <v>23.23201089185077</v>
      </c>
      <c r="N29" s="11">
        <v>0.94526901285616116</v>
      </c>
    </row>
    <row r="30" spans="1:14" ht="14.7" customHeight="1" x14ac:dyDescent="0.55000000000000004">
      <c r="A30" s="29" t="s">
        <v>26</v>
      </c>
      <c r="B30" s="16" t="s">
        <v>9</v>
      </c>
      <c r="C30" s="3">
        <v>0.21743631089660731</v>
      </c>
      <c r="D30" s="5">
        <v>7.0347083501312688E-4</v>
      </c>
      <c r="E30" s="3">
        <v>6.6333462608350029</v>
      </c>
      <c r="F30" s="5">
        <v>1.4161778604429749E-2</v>
      </c>
      <c r="G30" s="3">
        <v>8.5612578975464218E-2</v>
      </c>
      <c r="H30" s="5">
        <v>8.8116589948032805E-4</v>
      </c>
      <c r="I30" s="3">
        <v>7.5096339294180511E-2</v>
      </c>
      <c r="J30" s="5">
        <v>1.400264100366496E-3</v>
      </c>
      <c r="K30" s="3">
        <v>0.4830549658920108</v>
      </c>
      <c r="L30" s="5">
        <v>4.54133649828844E-3</v>
      </c>
      <c r="M30" s="3">
        <v>52.985172210200503</v>
      </c>
      <c r="N30" s="5">
        <v>2.5462499050254519</v>
      </c>
    </row>
    <row r="31" spans="1:14" ht="14.7" customHeight="1" x14ac:dyDescent="0.55000000000000004">
      <c r="A31" s="30" t="s">
        <v>26</v>
      </c>
      <c r="B31" s="17" t="s">
        <v>10</v>
      </c>
      <c r="C31" s="6">
        <v>0.24094917548457201</v>
      </c>
      <c r="D31" s="7">
        <v>1.703381194778934E-3</v>
      </c>
      <c r="E31" s="6">
        <v>6.1868365336268436</v>
      </c>
      <c r="F31" s="7">
        <v>3.0364247304340231E-2</v>
      </c>
      <c r="G31" s="6">
        <v>7.9246029621766342E-2</v>
      </c>
      <c r="H31" s="7">
        <v>1.739309824648825E-3</v>
      </c>
      <c r="I31" s="6">
        <v>2.932826842852828E-2</v>
      </c>
      <c r="J31" s="7">
        <v>1.1408414931035639E-3</v>
      </c>
      <c r="K31" s="6">
        <v>0.53447143318118129</v>
      </c>
      <c r="L31" s="7">
        <v>1.9685368676061461E-3</v>
      </c>
      <c r="M31" s="6">
        <v>61.99094220012546</v>
      </c>
      <c r="N31" s="7">
        <v>3.4818559812866559</v>
      </c>
    </row>
    <row r="32" spans="1:14" ht="14.7" customHeight="1" x14ac:dyDescent="0.55000000000000004">
      <c r="A32" s="30" t="s">
        <v>26</v>
      </c>
      <c r="B32" s="17" t="s">
        <v>11</v>
      </c>
      <c r="C32" s="6">
        <v>0.22627792862001919</v>
      </c>
      <c r="D32" s="7">
        <v>8.8965351041645651E-4</v>
      </c>
      <c r="E32" s="6">
        <v>6.4586771937755527</v>
      </c>
      <c r="F32" s="7">
        <v>1.7483534150624171E-2</v>
      </c>
      <c r="G32" s="6">
        <v>0.11074627895934511</v>
      </c>
      <c r="H32" s="7">
        <v>1.839965951581486E-3</v>
      </c>
      <c r="I32" s="6">
        <v>5.8596929636445888E-2</v>
      </c>
      <c r="J32" s="7">
        <v>1.321354380975357E-3</v>
      </c>
      <c r="K32" s="6">
        <v>0.49437432913910367</v>
      </c>
      <c r="L32" s="7">
        <v>1.561703948480643E-3</v>
      </c>
      <c r="M32" s="6">
        <v>41.372724078546291</v>
      </c>
      <c r="N32" s="7">
        <v>1.1369657299847029</v>
      </c>
    </row>
    <row r="33" spans="1:14" ht="14.7" customHeight="1" x14ac:dyDescent="0.55000000000000004">
      <c r="A33" s="30" t="s">
        <v>26</v>
      </c>
      <c r="B33" s="17" t="s">
        <v>12</v>
      </c>
      <c r="C33" s="6">
        <v>0.2166735760090969</v>
      </c>
      <c r="D33" s="7">
        <v>1.2140457693166279E-3</v>
      </c>
      <c r="E33" s="6">
        <v>6.6487970585495848</v>
      </c>
      <c r="F33" s="7">
        <v>2.4390811748704631E-2</v>
      </c>
      <c r="G33" s="6">
        <v>8.8080839224539562E-2</v>
      </c>
      <c r="H33" s="7">
        <v>1.5011160565398169E-3</v>
      </c>
      <c r="I33" s="6">
        <v>7.6799695635869469E-2</v>
      </c>
      <c r="J33" s="7">
        <v>1.8274206591808171E-3</v>
      </c>
      <c r="K33" s="6">
        <v>0.48205711100969262</v>
      </c>
      <c r="L33" s="7">
        <v>2.662500120389241E-3</v>
      </c>
      <c r="M33" s="6">
        <v>48.900161384973877</v>
      </c>
      <c r="N33" s="7">
        <v>1.633956045842218</v>
      </c>
    </row>
    <row r="34" spans="1:14" ht="14.7" customHeight="1" x14ac:dyDescent="0.55000000000000004">
      <c r="A34" s="30" t="s">
        <v>26</v>
      </c>
      <c r="B34" s="17" t="s">
        <v>13</v>
      </c>
      <c r="C34" s="6">
        <v>0.23800194896983459</v>
      </c>
      <c r="D34" s="7">
        <v>1.0283410700729721E-3</v>
      </c>
      <c r="E34" s="6">
        <v>6.2396993807487373</v>
      </c>
      <c r="F34" s="7">
        <v>1.8864149495342521E-2</v>
      </c>
      <c r="G34" s="6">
        <v>8.6802110896409407E-2</v>
      </c>
      <c r="H34" s="7">
        <v>1.699380559543225E-3</v>
      </c>
      <c r="I34" s="6">
        <v>3.1144224204833929E-2</v>
      </c>
      <c r="J34" s="7">
        <v>1.446291360442644E-3</v>
      </c>
      <c r="K34" s="6">
        <v>0.53206714887673667</v>
      </c>
      <c r="L34" s="7">
        <v>2.7215286842311661E-3</v>
      </c>
      <c r="M34" s="6">
        <v>54.738066268079628</v>
      </c>
      <c r="N34" s="7">
        <v>2.4146335193018218</v>
      </c>
    </row>
    <row r="35" spans="1:14" ht="14.7" customHeight="1" x14ac:dyDescent="0.55000000000000004">
      <c r="A35" s="30" t="s">
        <v>26</v>
      </c>
      <c r="B35" s="17" t="s">
        <v>14</v>
      </c>
      <c r="C35" s="6">
        <v>0.2260300433011683</v>
      </c>
      <c r="D35" s="7">
        <v>1.369366356500816E-3</v>
      </c>
      <c r="E35" s="6">
        <v>6.4641979035341564</v>
      </c>
      <c r="F35" s="7">
        <v>2.6722653841548021E-2</v>
      </c>
      <c r="G35" s="6">
        <v>0.10933500728712819</v>
      </c>
      <c r="H35" s="7">
        <v>2.4570262840919971E-3</v>
      </c>
      <c r="I35" s="6">
        <v>5.8792112455324862E-2</v>
      </c>
      <c r="J35" s="7">
        <v>1.77834069297409E-3</v>
      </c>
      <c r="K35" s="6">
        <v>0.49021329103882683</v>
      </c>
      <c r="L35" s="7">
        <v>3.6791622949999838E-3</v>
      </c>
      <c r="M35" s="6">
        <v>37.822823335909469</v>
      </c>
      <c r="N35" s="7">
        <v>1.2443900222852109</v>
      </c>
    </row>
    <row r="36" spans="1:14" ht="14.7" customHeight="1" thickBot="1" x14ac:dyDescent="0.6">
      <c r="A36" s="31" t="s">
        <v>26</v>
      </c>
      <c r="B36" s="18" t="s">
        <v>15</v>
      </c>
      <c r="C36" s="10">
        <v>0.22552356666252099</v>
      </c>
      <c r="D36" s="11">
        <v>7.4117205271788823E-4</v>
      </c>
      <c r="E36" s="10">
        <v>6.4772772439918258</v>
      </c>
      <c r="F36" s="11">
        <v>1.4505839327971941E-2</v>
      </c>
      <c r="G36" s="10">
        <v>9.5132018152876766E-2</v>
      </c>
      <c r="H36" s="11">
        <v>1.853697097435952E-3</v>
      </c>
      <c r="I36" s="10">
        <v>5.8955352779982761E-2</v>
      </c>
      <c r="J36" s="11">
        <v>7.3455346082975932E-4</v>
      </c>
      <c r="K36" s="10">
        <v>0.49731057719928418</v>
      </c>
      <c r="L36" s="11">
        <v>3.097416863939825E-3</v>
      </c>
      <c r="M36" s="10">
        <v>33.76987519297623</v>
      </c>
      <c r="N36" s="11">
        <v>1.2614080780253101</v>
      </c>
    </row>
    <row r="37" spans="1:14" ht="14.7" customHeight="1" x14ac:dyDescent="0.55000000000000004">
      <c r="A37" s="20" t="s">
        <v>27</v>
      </c>
      <c r="B37" s="16" t="s">
        <v>9</v>
      </c>
      <c r="C37" s="3">
        <v>3.9776268033460203E-2</v>
      </c>
      <c r="D37" s="5">
        <v>4.7342554227322071E-4</v>
      </c>
      <c r="E37" s="3">
        <v>14.18017875756601</v>
      </c>
      <c r="F37" s="5">
        <v>5.3834058017904342E-2</v>
      </c>
      <c r="G37" s="3">
        <v>1.938755798127171E-3</v>
      </c>
      <c r="H37" s="5">
        <v>4.3593201745902992E-4</v>
      </c>
      <c r="I37" s="3">
        <v>4.1691880125325223E-2</v>
      </c>
      <c r="J37" s="5">
        <v>2.0986819828125859E-3</v>
      </c>
      <c r="K37" s="3">
        <v>0.80620602678516617</v>
      </c>
      <c r="L37" s="5">
        <v>6.8613772670684534E-3</v>
      </c>
      <c r="M37" s="3">
        <v>391.0272363290382</v>
      </c>
      <c r="N37" s="5">
        <v>6.5510639641726476</v>
      </c>
    </row>
    <row r="38" spans="1:14" ht="14.7" customHeight="1" x14ac:dyDescent="0.55000000000000004">
      <c r="A38" s="21" t="s">
        <v>27</v>
      </c>
      <c r="B38" s="17" t="s">
        <v>10</v>
      </c>
      <c r="C38" s="6">
        <v>5.9139294483135298E-2</v>
      </c>
      <c r="D38" s="7">
        <v>1.671202167695701E-3</v>
      </c>
      <c r="E38" s="6">
        <v>12.85483286163703</v>
      </c>
      <c r="F38" s="7">
        <v>0.1128442462518785</v>
      </c>
      <c r="G38" s="6">
        <v>2.0585023996700768E-3</v>
      </c>
      <c r="H38" s="7">
        <v>9.3818654025815118E-4</v>
      </c>
      <c r="I38" s="6">
        <v>1.305638312104704E-2</v>
      </c>
      <c r="J38" s="7">
        <v>1.2751880262977971E-3</v>
      </c>
      <c r="K38" s="6">
        <v>0.81686854267458631</v>
      </c>
      <c r="L38" s="7">
        <v>1.9211875154147691E-2</v>
      </c>
      <c r="M38" s="6">
        <v>433.40494328444998</v>
      </c>
      <c r="N38" s="7">
        <v>6.1381435914715388</v>
      </c>
    </row>
    <row r="39" spans="1:14" ht="14.7" customHeight="1" x14ac:dyDescent="0.55000000000000004">
      <c r="A39" s="21" t="s">
        <v>27</v>
      </c>
      <c r="B39" s="17" t="s">
        <v>11</v>
      </c>
      <c r="C39" s="6">
        <v>3.6660215282811118E-2</v>
      </c>
      <c r="D39" s="7">
        <v>7.8751523853041073E-4</v>
      </c>
      <c r="E39" s="6">
        <v>14.58119736116844</v>
      </c>
      <c r="F39" s="7">
        <v>9.452789580696612E-2</v>
      </c>
      <c r="G39" s="6">
        <v>9.4675757683242471E-4</v>
      </c>
      <c r="H39" s="7">
        <v>2.0464919404315489E-4</v>
      </c>
      <c r="I39" s="6">
        <v>4.1092922618672457E-2</v>
      </c>
      <c r="J39" s="7">
        <v>2.072933886274702E-3</v>
      </c>
      <c r="K39" s="6">
        <v>0.76606081154832928</v>
      </c>
      <c r="L39" s="7">
        <v>1.9796394407513958E-2</v>
      </c>
      <c r="M39" s="6">
        <v>407.33682979570818</v>
      </c>
      <c r="N39" s="7">
        <v>9.8587594049117762</v>
      </c>
    </row>
    <row r="40" spans="1:14" ht="14.7" customHeight="1" x14ac:dyDescent="0.55000000000000004">
      <c r="A40" s="21" t="s">
        <v>27</v>
      </c>
      <c r="B40" s="17" t="s">
        <v>12</v>
      </c>
      <c r="C40" s="6">
        <v>3.9776268033460203E-2</v>
      </c>
      <c r="D40" s="7">
        <v>4.7342554227322071E-4</v>
      </c>
      <c r="E40" s="6">
        <v>14.18017875756601</v>
      </c>
      <c r="F40" s="7">
        <v>5.3834058017904342E-2</v>
      </c>
      <c r="G40" s="6">
        <v>1.938755798127171E-3</v>
      </c>
      <c r="H40" s="7">
        <v>4.3593201745902992E-4</v>
      </c>
      <c r="I40" s="6">
        <v>4.1691880125325223E-2</v>
      </c>
      <c r="J40" s="7">
        <v>2.0986819828125859E-3</v>
      </c>
      <c r="K40" s="6">
        <v>0.80620602678516617</v>
      </c>
      <c r="L40" s="7">
        <v>6.8613772670684534E-3</v>
      </c>
      <c r="M40" s="6">
        <v>391.0272363290382</v>
      </c>
      <c r="N40" s="7">
        <v>6.5510639641726476</v>
      </c>
    </row>
    <row r="41" spans="1:14" ht="14.7" customHeight="1" x14ac:dyDescent="0.55000000000000004">
      <c r="A41" s="22" t="s">
        <v>27</v>
      </c>
      <c r="B41" s="17" t="s">
        <v>13</v>
      </c>
      <c r="C41" s="6">
        <v>5.8677597279189218E-2</v>
      </c>
      <c r="D41" s="7">
        <v>1.6612012723412021E-3</v>
      </c>
      <c r="E41" s="6">
        <v>12.98479667401088</v>
      </c>
      <c r="F41" s="7">
        <v>0.1187059918181011</v>
      </c>
      <c r="G41" s="6">
        <v>1.0244181105952741E-3</v>
      </c>
      <c r="H41" s="7">
        <v>2.3311609053371519E-4</v>
      </c>
      <c r="I41" s="6">
        <v>1.991506311836487E-2</v>
      </c>
      <c r="J41" s="7">
        <v>1.3141492918805459E-3</v>
      </c>
      <c r="K41" s="6">
        <v>0.74487379665088094</v>
      </c>
      <c r="L41" s="7">
        <v>2.0200670557873449E-2</v>
      </c>
      <c r="M41" s="6">
        <v>430.98113995938132</v>
      </c>
      <c r="N41" s="7">
        <v>3.4199432639197078</v>
      </c>
    </row>
    <row r="42" spans="1:14" ht="14.7" customHeight="1" x14ac:dyDescent="0.55000000000000004">
      <c r="A42" s="21" t="s">
        <v>27</v>
      </c>
      <c r="B42" s="17" t="s">
        <v>14</v>
      </c>
      <c r="C42" s="6">
        <v>3.6742829330202523E-2</v>
      </c>
      <c r="D42" s="7">
        <v>7.2875593567689207E-4</v>
      </c>
      <c r="E42" s="6">
        <v>14.56048012966613</v>
      </c>
      <c r="F42" s="7">
        <v>8.0076712312886225E-2</v>
      </c>
      <c r="G42" s="6">
        <v>1.1795532888699051E-3</v>
      </c>
      <c r="H42" s="7">
        <v>2.9982082409701411E-4</v>
      </c>
      <c r="I42" s="6">
        <v>3.5694067735697353E-2</v>
      </c>
      <c r="J42" s="7">
        <v>1.863569545619581E-3</v>
      </c>
      <c r="K42" s="6">
        <v>0.78904915127571051</v>
      </c>
      <c r="L42" s="7">
        <v>2.1904694032525679E-2</v>
      </c>
      <c r="M42" s="6">
        <v>384.50157340292202</v>
      </c>
      <c r="N42" s="7">
        <v>5.4812092218733728</v>
      </c>
    </row>
    <row r="43" spans="1:14" ht="14.7" customHeight="1" thickBot="1" x14ac:dyDescent="0.6">
      <c r="A43" s="23" t="s">
        <v>27</v>
      </c>
      <c r="B43" s="19" t="s">
        <v>15</v>
      </c>
      <c r="C43" s="12">
        <v>4.3273080712662899E-2</v>
      </c>
      <c r="D43" s="9">
        <v>4.9853108202576127E-4</v>
      </c>
      <c r="E43" s="10">
        <v>14.018372085562209</v>
      </c>
      <c r="F43" s="9">
        <v>4.398364227615862E-2</v>
      </c>
      <c r="G43" s="12">
        <v>1.086080618833845E-3</v>
      </c>
      <c r="H43" s="9">
        <v>2.8635322535738568E-4</v>
      </c>
      <c r="I43" s="10">
        <v>3.7565003322087412E-2</v>
      </c>
      <c r="J43" s="9">
        <v>9.5580089975755538E-4</v>
      </c>
      <c r="K43" s="12">
        <v>0.78606199029114665</v>
      </c>
      <c r="L43" s="9">
        <v>2.0592541222832921E-2</v>
      </c>
      <c r="M43" s="12">
        <v>394.3999034938696</v>
      </c>
      <c r="N43" s="9">
        <v>4.6357812343773537</v>
      </c>
    </row>
    <row r="44" spans="1:14" ht="14.7" customHeight="1" x14ac:dyDescent="0.55000000000000004">
      <c r="A44" s="32" t="s">
        <v>28</v>
      </c>
      <c r="B44" s="25" t="s">
        <v>9</v>
      </c>
      <c r="C44" s="26">
        <v>8.0398488904282472E-3</v>
      </c>
      <c r="D44" s="15">
        <v>5.0599783222947576E-4</v>
      </c>
      <c r="E44" s="3">
        <v>21.17637309192342</v>
      </c>
      <c r="F44" s="15">
        <v>0.26881715342922952</v>
      </c>
      <c r="G44" s="26">
        <v>4.3008991196106169E-2</v>
      </c>
      <c r="H44" s="15">
        <v>8.3675998616580696E-4</v>
      </c>
      <c r="I44" s="3">
        <v>0.70898775012729376</v>
      </c>
      <c r="J44" s="15">
        <v>6.2162675031789041E-3</v>
      </c>
      <c r="K44" s="26">
        <v>0.24079904326067619</v>
      </c>
      <c r="L44" s="15">
        <v>1.1782627992704129E-2</v>
      </c>
      <c r="M44" s="26">
        <v>121.6296821129132</v>
      </c>
      <c r="N44" s="15">
        <v>12.019452879651331</v>
      </c>
    </row>
    <row r="45" spans="1:14" ht="14.7" customHeight="1" x14ac:dyDescent="0.55000000000000004">
      <c r="A45" s="30" t="s">
        <v>28</v>
      </c>
      <c r="B45" s="17" t="s">
        <v>10</v>
      </c>
      <c r="C45" s="6">
        <v>1.291197922152426E-2</v>
      </c>
      <c r="D45" s="7">
        <v>3.8130273327258689E-4</v>
      </c>
      <c r="E45" s="6">
        <v>19.903589771750759</v>
      </c>
      <c r="F45" s="7">
        <v>0.15646561021968181</v>
      </c>
      <c r="G45" s="6">
        <v>3.9785620984762272E-2</v>
      </c>
      <c r="H45" s="7">
        <v>1.2511806518905851E-3</v>
      </c>
      <c r="I45" s="6">
        <v>0.81276865648669827</v>
      </c>
      <c r="J45" s="7">
        <v>4.3586414956613244E-3</v>
      </c>
      <c r="K45" s="6">
        <v>0.1896413316397427</v>
      </c>
      <c r="L45" s="7">
        <v>5.0844388584396372E-3</v>
      </c>
      <c r="M45" s="6">
        <v>121.0090140395085</v>
      </c>
      <c r="N45" s="7">
        <v>6.2973149237314692</v>
      </c>
    </row>
    <row r="46" spans="1:14" ht="14.7" customHeight="1" x14ac:dyDescent="0.55000000000000004">
      <c r="A46" s="30" t="s">
        <v>28</v>
      </c>
      <c r="B46" s="17" t="s">
        <v>11</v>
      </c>
      <c r="C46" s="6">
        <v>7.1077924542493759E-3</v>
      </c>
      <c r="D46" s="7">
        <v>2.9319157720763379E-4</v>
      </c>
      <c r="E46" s="6">
        <v>21.860966406821021</v>
      </c>
      <c r="F46" s="7">
        <v>0.15299743781239941</v>
      </c>
      <c r="G46" s="6">
        <v>7.0464403192152747E-2</v>
      </c>
      <c r="H46" s="7">
        <v>2.4344894129142078E-3</v>
      </c>
      <c r="I46" s="6">
        <v>0.76789915484830018</v>
      </c>
      <c r="J46" s="7">
        <v>1.218505495785795E-2</v>
      </c>
      <c r="K46" s="6">
        <v>0.22718567921871721</v>
      </c>
      <c r="L46" s="7">
        <v>1.08309797761193E-2</v>
      </c>
      <c r="M46" s="6">
        <v>123.4071768076119</v>
      </c>
      <c r="N46" s="7">
        <v>7.3800740724120848</v>
      </c>
    </row>
    <row r="47" spans="1:14" ht="14.7" customHeight="1" x14ac:dyDescent="0.55000000000000004">
      <c r="A47" s="30" t="s">
        <v>28</v>
      </c>
      <c r="B47" s="17" t="s">
        <v>12</v>
      </c>
      <c r="C47" s="6">
        <v>8.8903241744153275E-3</v>
      </c>
      <c r="D47" s="7">
        <v>1.7137296332046521E-4</v>
      </c>
      <c r="E47" s="6">
        <v>20.69762821283177</v>
      </c>
      <c r="F47" s="7">
        <v>7.7477011167220014E-2</v>
      </c>
      <c r="G47" s="6">
        <v>4.5290377489390181E-2</v>
      </c>
      <c r="H47" s="7">
        <v>1.5602314320645851E-3</v>
      </c>
      <c r="I47" s="6">
        <v>0.70532698663051918</v>
      </c>
      <c r="J47" s="7">
        <v>3.6451666816955672E-3</v>
      </c>
      <c r="K47" s="6">
        <v>0.21222522602741961</v>
      </c>
      <c r="L47" s="7">
        <v>3.8745288246477359E-3</v>
      </c>
      <c r="M47" s="6">
        <v>99.601428734043793</v>
      </c>
      <c r="N47" s="7">
        <v>2.9142629472598709</v>
      </c>
    </row>
    <row r="48" spans="1:14" ht="14.7" customHeight="1" x14ac:dyDescent="0.55000000000000004">
      <c r="A48" s="30" t="s">
        <v>28</v>
      </c>
      <c r="B48" s="17" t="s">
        <v>13</v>
      </c>
      <c r="C48" s="6">
        <v>9.5945133446603062E-3</v>
      </c>
      <c r="D48" s="7">
        <v>2.7780456066149551E-4</v>
      </c>
      <c r="E48" s="6">
        <v>20.951516832375489</v>
      </c>
      <c r="F48" s="7">
        <v>0.13251371906539</v>
      </c>
      <c r="G48" s="6">
        <v>3.9240966854265452E-2</v>
      </c>
      <c r="H48" s="7">
        <v>9.4250021773206185E-4</v>
      </c>
      <c r="I48" s="6">
        <v>0.82841599977184432</v>
      </c>
      <c r="J48" s="7">
        <v>1.908370891949553E-3</v>
      </c>
      <c r="K48" s="6">
        <v>0.17505469960377021</v>
      </c>
      <c r="L48" s="7">
        <v>2.0120331738442709E-3</v>
      </c>
      <c r="M48" s="6">
        <v>138.471976249558</v>
      </c>
      <c r="N48" s="7">
        <v>7.1691420767199627</v>
      </c>
    </row>
    <row r="49" spans="1:14" ht="14.7" customHeight="1" x14ac:dyDescent="0.55000000000000004">
      <c r="A49" s="30" t="s">
        <v>28</v>
      </c>
      <c r="B49" s="17" t="s">
        <v>14</v>
      </c>
      <c r="C49" s="6">
        <v>7.2869981103503732E-3</v>
      </c>
      <c r="D49" s="7">
        <v>2.7275527083083743E-4</v>
      </c>
      <c r="E49" s="6">
        <v>21.672309944956769</v>
      </c>
      <c r="F49" s="7">
        <v>0.12555670550686171</v>
      </c>
      <c r="G49" s="6">
        <v>6.8777634905159341E-2</v>
      </c>
      <c r="H49" s="7">
        <v>1.843739941377414E-3</v>
      </c>
      <c r="I49" s="6">
        <v>0.7692661351321689</v>
      </c>
      <c r="J49" s="7">
        <v>6.5806467231696204E-3</v>
      </c>
      <c r="K49" s="6">
        <v>0.20169374696720199</v>
      </c>
      <c r="L49" s="7">
        <v>3.058902364863655E-3</v>
      </c>
      <c r="M49" s="6">
        <v>113.37286297386289</v>
      </c>
      <c r="N49" s="7">
        <v>4.4472093319110879</v>
      </c>
    </row>
    <row r="50" spans="1:14" ht="14.7" customHeight="1" thickBot="1" x14ac:dyDescent="0.6">
      <c r="A50" s="31" t="s">
        <v>28</v>
      </c>
      <c r="B50" s="18" t="s">
        <v>15</v>
      </c>
      <c r="C50" s="10">
        <v>8.4441876613362832E-3</v>
      </c>
      <c r="D50" s="11">
        <v>9.1262735236705375E-5</v>
      </c>
      <c r="E50" s="10">
        <v>21.12087661967735</v>
      </c>
      <c r="F50" s="11">
        <v>3.4415387051066393E-2</v>
      </c>
      <c r="G50" s="10">
        <v>5.392971900610153E-2</v>
      </c>
      <c r="H50" s="11">
        <v>1.187102009583878E-3</v>
      </c>
      <c r="I50" s="10">
        <v>0.75904971743145777</v>
      </c>
      <c r="J50" s="11">
        <v>2.1611333781117082E-3</v>
      </c>
      <c r="K50" s="10">
        <v>0.19776021261086499</v>
      </c>
      <c r="L50" s="11">
        <v>1.0972281090785409E-3</v>
      </c>
      <c r="M50" s="10">
        <v>91.478761890798381</v>
      </c>
      <c r="N50" s="11">
        <v>3.7261354033836889</v>
      </c>
    </row>
    <row r="51" spans="1:14" x14ac:dyDescent="0.55000000000000004">
      <c r="A51" s="29" t="s">
        <v>29</v>
      </c>
      <c r="B51" s="16" t="s">
        <v>9</v>
      </c>
      <c r="C51" s="4">
        <v>1.3548217206546739E-2</v>
      </c>
      <c r="D51" s="4">
        <v>3.6529761234952102E-4</v>
      </c>
      <c r="E51" s="4">
        <v>19.19278065918089</v>
      </c>
      <c r="F51" s="4">
        <v>0.1190074576615649</v>
      </c>
      <c r="G51" s="4">
        <v>0.10239472500179959</v>
      </c>
      <c r="H51" s="4">
        <v>1.634379588969635E-3</v>
      </c>
      <c r="I51" s="4">
        <v>0.71289088930625044</v>
      </c>
      <c r="J51" s="4">
        <v>5.4301257589463737E-3</v>
      </c>
      <c r="K51" s="4">
        <v>0.16922247581450789</v>
      </c>
      <c r="L51" s="4">
        <v>4.0867164083271063E-3</v>
      </c>
      <c r="M51" s="4">
        <v>27.99670887481367</v>
      </c>
      <c r="N51" s="4">
        <v>2.2815917872945688</v>
      </c>
    </row>
    <row r="52" spans="1:14" x14ac:dyDescent="0.55000000000000004">
      <c r="A52" s="30" t="s">
        <v>29</v>
      </c>
      <c r="B52" s="17" t="s">
        <v>10</v>
      </c>
      <c r="C52" s="2">
        <v>2.5017392318805589E-2</v>
      </c>
      <c r="D52" s="2">
        <v>1.257664925912896E-3</v>
      </c>
      <c r="E52" s="2">
        <v>18.11462037380894</v>
      </c>
      <c r="F52" s="2">
        <v>0.19738663331212769</v>
      </c>
      <c r="G52" s="2">
        <v>9.7326035191976121E-2</v>
      </c>
      <c r="H52" s="2">
        <v>3.2532095216479271E-3</v>
      </c>
      <c r="I52" s="2">
        <v>0.84809967291588051</v>
      </c>
      <c r="J52" s="2">
        <v>3.2581119023032058E-3</v>
      </c>
      <c r="K52" s="2">
        <v>0.16725289243430411</v>
      </c>
      <c r="L52" s="2">
        <v>2.8029143349142969E-3</v>
      </c>
      <c r="M52" s="2">
        <v>41.980063758911477</v>
      </c>
      <c r="N52" s="2">
        <v>1.8270143799555389</v>
      </c>
    </row>
    <row r="53" spans="1:14" x14ac:dyDescent="0.55000000000000004">
      <c r="A53" s="30" t="s">
        <v>29</v>
      </c>
      <c r="B53" s="17" t="s">
        <v>11</v>
      </c>
      <c r="C53" s="2">
        <v>1.1501452006839521E-2</v>
      </c>
      <c r="D53" s="2">
        <v>3.5855343685329259E-4</v>
      </c>
      <c r="E53" s="2">
        <v>20.002046053284509</v>
      </c>
      <c r="F53" s="2">
        <v>0.13103264380791371</v>
      </c>
      <c r="G53" s="2">
        <v>0.1301867731730032</v>
      </c>
      <c r="H53" s="2">
        <v>2.445350314029301E-3</v>
      </c>
      <c r="I53" s="2">
        <v>0.79566671641748365</v>
      </c>
      <c r="J53" s="2">
        <v>5.2728288442111049E-3</v>
      </c>
      <c r="K53" s="2">
        <v>0.14349034193803961</v>
      </c>
      <c r="L53" s="2">
        <v>1.925075253057758E-3</v>
      </c>
      <c r="M53" s="2">
        <v>20.977058694984731</v>
      </c>
      <c r="N53" s="2">
        <v>0.46483735620528899</v>
      </c>
    </row>
    <row r="54" spans="1:14" x14ac:dyDescent="0.55000000000000004">
      <c r="A54" s="30" t="s">
        <v>29</v>
      </c>
      <c r="B54" s="17" t="s">
        <v>12</v>
      </c>
      <c r="C54" s="2">
        <v>1.348933524696545E-2</v>
      </c>
      <c r="D54" s="2">
        <v>2.585975631237758E-4</v>
      </c>
      <c r="E54" s="2">
        <v>19.231656798880159</v>
      </c>
      <c r="F54" s="2">
        <v>8.1796357571736741E-2</v>
      </c>
      <c r="G54" s="2">
        <v>0.10252034678154209</v>
      </c>
      <c r="H54" s="2">
        <v>2.389310370014218E-3</v>
      </c>
      <c r="I54" s="2">
        <v>0.71028052240529072</v>
      </c>
      <c r="J54" s="2">
        <v>3.3929270436865852E-3</v>
      </c>
      <c r="K54" s="2">
        <v>0.15963419521601571</v>
      </c>
      <c r="L54" s="2">
        <v>2.963711862021844E-3</v>
      </c>
      <c r="M54" s="2">
        <v>21.40911824571948</v>
      </c>
      <c r="N54" s="2">
        <v>0.46934847106951733</v>
      </c>
    </row>
    <row r="55" spans="1:14" x14ac:dyDescent="0.55000000000000004">
      <c r="A55" s="30" t="s">
        <v>29</v>
      </c>
      <c r="B55" s="17" t="s">
        <v>13</v>
      </c>
      <c r="C55" s="2">
        <v>2.4433508405740899E-2</v>
      </c>
      <c r="D55" s="2">
        <v>6.7295808007796062E-4</v>
      </c>
      <c r="E55" s="2">
        <v>18.26926644676794</v>
      </c>
      <c r="F55" s="2">
        <v>0.1120503140572072</v>
      </c>
      <c r="G55" s="2">
        <v>0.102405886212574</v>
      </c>
      <c r="H55" s="2">
        <v>2.4548568331419171E-3</v>
      </c>
      <c r="I55" s="2">
        <v>0.84858529401192695</v>
      </c>
      <c r="J55" s="2">
        <v>2.2530072324082949E-3</v>
      </c>
      <c r="K55" s="2">
        <v>0.16429825542484719</v>
      </c>
      <c r="L55" s="2">
        <v>3.3480702809021829E-3</v>
      </c>
      <c r="M55" s="2">
        <v>33.810744353532023</v>
      </c>
      <c r="N55" s="2">
        <v>1.4975268459996851</v>
      </c>
    </row>
    <row r="56" spans="1:14" x14ac:dyDescent="0.55000000000000004">
      <c r="A56" s="30" t="s">
        <v>29</v>
      </c>
      <c r="B56" s="17" t="s">
        <v>14</v>
      </c>
      <c r="C56" s="2">
        <v>1.178057040482502E-2</v>
      </c>
      <c r="D56" s="2">
        <v>3.8975722000594159E-4</v>
      </c>
      <c r="E56" s="2">
        <v>19.90040636166767</v>
      </c>
      <c r="F56" s="2">
        <v>0.15799252793074561</v>
      </c>
      <c r="G56" s="2">
        <v>0.12643830897954431</v>
      </c>
      <c r="H56" s="2">
        <v>2.5446156910214931E-3</v>
      </c>
      <c r="I56" s="2">
        <v>0.79406247477567382</v>
      </c>
      <c r="J56" s="2">
        <v>6.4266992325324691E-3</v>
      </c>
      <c r="K56" s="2">
        <v>0.14419036316125189</v>
      </c>
      <c r="L56" s="2">
        <v>1.0182430293863801E-3</v>
      </c>
      <c r="M56" s="2">
        <v>19.314291366395931</v>
      </c>
      <c r="N56" s="2">
        <v>0.7029816171437645</v>
      </c>
    </row>
    <row r="57" spans="1:14" ht="14.7" customHeight="1" thickBot="1" x14ac:dyDescent="0.6">
      <c r="A57" s="31" t="s">
        <v>29</v>
      </c>
      <c r="B57" s="19" t="s">
        <v>15</v>
      </c>
      <c r="C57" s="8">
        <v>1.532901217775268E-2</v>
      </c>
      <c r="D57" s="8">
        <v>2.5179460302643679E-4</v>
      </c>
      <c r="E57" s="8">
        <v>19.224949774627159</v>
      </c>
      <c r="F57" s="8">
        <v>8.5738718368809613E-2</v>
      </c>
      <c r="G57" s="8">
        <v>0.1109027219994168</v>
      </c>
      <c r="H57" s="8">
        <v>1.1275956164902819E-3</v>
      </c>
      <c r="I57" s="8">
        <v>0.77429240632062801</v>
      </c>
      <c r="J57" s="8">
        <v>2.19094152433857E-3</v>
      </c>
      <c r="K57" s="8">
        <v>0.15454880109233979</v>
      </c>
      <c r="L57" s="8">
        <v>1.2031504429683439E-3</v>
      </c>
      <c r="M57" s="8">
        <v>13.32217437739353</v>
      </c>
      <c r="N57" s="8">
        <v>0.18325710013303881</v>
      </c>
    </row>
    <row r="58" spans="1:14" ht="14.7" customHeight="1" x14ac:dyDescent="0.55000000000000004">
      <c r="A58" s="29" t="s">
        <v>30</v>
      </c>
      <c r="B58" s="25" t="s">
        <v>9</v>
      </c>
      <c r="C58" s="26">
        <v>0.11018170719279689</v>
      </c>
      <c r="D58" s="15">
        <v>6.5170056649275374E-2</v>
      </c>
      <c r="E58" s="26">
        <v>11.806133602226691</v>
      </c>
      <c r="F58" s="15">
        <v>1.8754971571609551</v>
      </c>
      <c r="G58" s="26">
        <v>2.81327200278511E-4</v>
      </c>
      <c r="H58" s="15">
        <v>8.5639183774898996E-5</v>
      </c>
      <c r="I58" s="26">
        <v>0.186911007884903</v>
      </c>
      <c r="J58" s="15">
        <v>9.6074917728063702E-2</v>
      </c>
      <c r="K58" s="26">
        <v>0.70864379502415387</v>
      </c>
      <c r="L58" s="15">
        <v>4.1887314104700007E-2</v>
      </c>
      <c r="M58" s="26">
        <v>414.78884648299731</v>
      </c>
      <c r="N58" s="15">
        <v>11.878493234256929</v>
      </c>
    </row>
    <row r="59" spans="1:14" ht="14.7" customHeight="1" x14ac:dyDescent="0.55000000000000004">
      <c r="A59" s="30" t="s">
        <v>30</v>
      </c>
      <c r="B59" s="17" t="s">
        <v>10</v>
      </c>
      <c r="C59" s="6">
        <v>5.33466812622563E-2</v>
      </c>
      <c r="D59" s="7">
        <v>2.618656675546656E-3</v>
      </c>
      <c r="E59" s="6">
        <v>13.628663426985099</v>
      </c>
      <c r="F59" s="7">
        <v>0.26898855900083668</v>
      </c>
      <c r="G59" s="6">
        <v>1.6957198132009521E-2</v>
      </c>
      <c r="H59" s="7">
        <v>4.9513075642716557E-3</v>
      </c>
      <c r="I59" s="6">
        <v>0.24494852634290931</v>
      </c>
      <c r="J59" s="7">
        <v>0.11042354958073761</v>
      </c>
      <c r="K59" s="6">
        <v>0.46762768167562418</v>
      </c>
      <c r="L59" s="7">
        <v>6.2724461407803508E-2</v>
      </c>
      <c r="M59" s="6">
        <v>287.21032293412281</v>
      </c>
      <c r="N59" s="7">
        <v>45.82520156700609</v>
      </c>
    </row>
    <row r="60" spans="1:14" ht="14.7" customHeight="1" x14ac:dyDescent="0.55000000000000004">
      <c r="A60" s="30" t="s">
        <v>30</v>
      </c>
      <c r="B60" s="17" t="s">
        <v>11</v>
      </c>
      <c r="C60" s="6">
        <v>0.1112522732012937</v>
      </c>
      <c r="D60" s="7">
        <v>5.8258189297491443E-2</v>
      </c>
      <c r="E60" s="6">
        <v>11.39941034418759</v>
      </c>
      <c r="F60" s="7">
        <v>1.7999506668299941</v>
      </c>
      <c r="G60" s="6">
        <v>1.663622350498979E-3</v>
      </c>
      <c r="H60" s="7">
        <v>1.281606244253888E-3</v>
      </c>
      <c r="I60" s="6">
        <v>7.339600444499729E-2</v>
      </c>
      <c r="J60" s="7">
        <v>5.2929878051455527E-2</v>
      </c>
      <c r="K60" s="6">
        <v>0.74748047418092722</v>
      </c>
      <c r="L60" s="7">
        <v>6.102091139883762E-2</v>
      </c>
      <c r="M60" s="6">
        <v>419.8926087403064</v>
      </c>
      <c r="N60" s="7">
        <v>16.565135386869891</v>
      </c>
    </row>
    <row r="61" spans="1:14" ht="14.7" customHeight="1" x14ac:dyDescent="0.55000000000000004">
      <c r="A61" s="30" t="s">
        <v>30</v>
      </c>
      <c r="B61" s="17" t="s">
        <v>12</v>
      </c>
      <c r="C61" s="6">
        <v>0.25559214924939178</v>
      </c>
      <c r="D61" s="7">
        <v>0.20588276202733899</v>
      </c>
      <c r="E61" s="6">
        <v>10.54068072308444</v>
      </c>
      <c r="F61" s="7">
        <v>2.7200353249408709</v>
      </c>
      <c r="G61" s="6">
        <v>2.0600163238454919E-4</v>
      </c>
      <c r="H61" s="7">
        <v>8.9969667890263988E-5</v>
      </c>
      <c r="I61" s="6">
        <v>0.33307701138343371</v>
      </c>
      <c r="J61" s="7">
        <v>0.1128321707593644</v>
      </c>
      <c r="K61" s="6">
        <v>0.68430357650359341</v>
      </c>
      <c r="L61" s="7">
        <v>3.2969293336944802E-2</v>
      </c>
      <c r="M61" s="6">
        <v>415.01358692992619</v>
      </c>
      <c r="N61" s="7">
        <v>15.463312329679651</v>
      </c>
    </row>
    <row r="62" spans="1:14" ht="14.7" customHeight="1" x14ac:dyDescent="0.55000000000000004">
      <c r="A62" s="30" t="s">
        <v>30</v>
      </c>
      <c r="B62" s="17" t="s">
        <v>13</v>
      </c>
      <c r="C62" s="6">
        <v>0.26835793181475132</v>
      </c>
      <c r="D62" s="7">
        <v>0.20393755950735071</v>
      </c>
      <c r="E62" s="6">
        <v>10.111940084229991</v>
      </c>
      <c r="F62" s="7">
        <v>2.6201690088018381</v>
      </c>
      <c r="G62" s="6">
        <v>1.2780065866672261E-4</v>
      </c>
      <c r="H62" s="7">
        <v>4.6406273653619353E-5</v>
      </c>
      <c r="I62" s="6">
        <v>0.43447859781446158</v>
      </c>
      <c r="J62" s="7">
        <v>0.1506277630369422</v>
      </c>
      <c r="K62" s="6">
        <v>0.57859671423273218</v>
      </c>
      <c r="L62" s="7">
        <v>7.0946915309463537E-2</v>
      </c>
      <c r="M62" s="6">
        <v>452.75154420253517</v>
      </c>
      <c r="N62" s="7">
        <v>11.737673498975591</v>
      </c>
    </row>
    <row r="63" spans="1:14" ht="14.7" customHeight="1" x14ac:dyDescent="0.55000000000000004">
      <c r="A63" s="30" t="s">
        <v>30</v>
      </c>
      <c r="B63" s="17" t="s">
        <v>14</v>
      </c>
      <c r="C63" s="6">
        <v>0.24661587571987309</v>
      </c>
      <c r="D63" s="7">
        <v>0.20344709647330869</v>
      </c>
      <c r="E63" s="6">
        <v>11.084722922712221</v>
      </c>
      <c r="F63" s="7">
        <v>2.8439088140822961</v>
      </c>
      <c r="G63" s="6">
        <v>2.5239375935646172E-4</v>
      </c>
      <c r="H63" s="7">
        <v>1.3874646021363131E-4</v>
      </c>
      <c r="I63" s="6">
        <v>0.38619372260654738</v>
      </c>
      <c r="J63" s="7">
        <v>0.1335550649418914</v>
      </c>
      <c r="K63" s="6">
        <v>0.64712421738007897</v>
      </c>
      <c r="L63" s="7">
        <v>4.6103251481932193E-2</v>
      </c>
      <c r="M63" s="6">
        <v>404.75781587216068</v>
      </c>
      <c r="N63" s="7">
        <v>13.20603058030734</v>
      </c>
    </row>
    <row r="64" spans="1:14" ht="14.7" customHeight="1" thickBot="1" x14ac:dyDescent="0.6">
      <c r="A64" s="33" t="s">
        <v>30</v>
      </c>
      <c r="B64" s="18" t="s">
        <v>15</v>
      </c>
      <c r="C64" s="10">
        <v>0.25474437064916888</v>
      </c>
      <c r="D64" s="11">
        <v>0.2038917880332515</v>
      </c>
      <c r="E64" s="10">
        <v>10.63360079787239</v>
      </c>
      <c r="F64" s="11">
        <v>2.7347746670629589</v>
      </c>
      <c r="G64" s="10">
        <v>2.146431597737736E-4</v>
      </c>
      <c r="H64" s="11">
        <v>1.0596328239217209E-4</v>
      </c>
      <c r="I64" s="10">
        <v>0.37480593773253562</v>
      </c>
      <c r="J64" s="11">
        <v>0.12715775880104771</v>
      </c>
      <c r="K64" s="10">
        <v>0.64400652910600409</v>
      </c>
      <c r="L64" s="11">
        <v>4.6476822388128079E-2</v>
      </c>
      <c r="M64" s="10">
        <v>419.02718414089321</v>
      </c>
      <c r="N64" s="11">
        <v>13.35347249340813</v>
      </c>
    </row>
    <row r="65" spans="1:14" ht="14.7" customHeight="1" x14ac:dyDescent="0.55000000000000004">
      <c r="A65" s="24" t="s">
        <v>17</v>
      </c>
      <c r="B65" s="16" t="s">
        <v>12</v>
      </c>
      <c r="C65" s="3">
        <v>2.581356329626323E-2</v>
      </c>
      <c r="D65" s="5">
        <v>2.2841455327308512E-3</v>
      </c>
      <c r="E65" s="3">
        <v>16.28383688248709</v>
      </c>
      <c r="F65" s="5">
        <v>0.35604414353235792</v>
      </c>
      <c r="G65" s="3">
        <v>5.8344475856583658E-2</v>
      </c>
      <c r="H65" s="5">
        <v>4.3802090904614911E-3</v>
      </c>
      <c r="I65" s="3">
        <v>0.6538358318830817</v>
      </c>
      <c r="J65" s="5">
        <v>1.220412707344974E-2</v>
      </c>
      <c r="K65" s="3">
        <v>0.22798909492950711</v>
      </c>
      <c r="L65" s="5">
        <v>8.7527771809376362E-3</v>
      </c>
      <c r="M65" s="3">
        <v>69.08342003047764</v>
      </c>
      <c r="N65" s="5">
        <v>16.002051633205529</v>
      </c>
    </row>
    <row r="66" spans="1:14" ht="14.7" customHeight="1" x14ac:dyDescent="0.55000000000000004">
      <c r="A66" s="21" t="s">
        <v>17</v>
      </c>
      <c r="B66" s="17" t="s">
        <v>13</v>
      </c>
      <c r="C66" s="6">
        <v>3.5429252872216301E-2</v>
      </c>
      <c r="D66" s="7">
        <v>1.0996597095024991E-3</v>
      </c>
      <c r="E66" s="6">
        <v>16.137120828343829</v>
      </c>
      <c r="F66" s="7">
        <v>0.2075485774094481</v>
      </c>
      <c r="G66" s="6">
        <v>5.9792610032161672E-2</v>
      </c>
      <c r="H66" s="7">
        <v>3.559681645175256E-3</v>
      </c>
      <c r="I66" s="6">
        <v>0.81655119207699212</v>
      </c>
      <c r="J66" s="7">
        <v>4.4106396781755869E-3</v>
      </c>
      <c r="K66" s="6">
        <v>0.2021930467622971</v>
      </c>
      <c r="L66" s="7">
        <v>6.23259948731933E-3</v>
      </c>
      <c r="M66" s="6">
        <v>76.520984322789232</v>
      </c>
      <c r="N66" s="7">
        <v>5.108534734615926</v>
      </c>
    </row>
    <row r="67" spans="1:14" ht="14.7" customHeight="1" x14ac:dyDescent="0.55000000000000004">
      <c r="A67" s="21" t="s">
        <v>17</v>
      </c>
      <c r="B67" s="17" t="s">
        <v>14</v>
      </c>
      <c r="C67" s="6">
        <v>2.5423913141731778E-2</v>
      </c>
      <c r="D67" s="7">
        <v>2.582923540668869E-3</v>
      </c>
      <c r="E67" s="6">
        <v>16.496684493145288</v>
      </c>
      <c r="F67" s="7">
        <v>0.39197443303744911</v>
      </c>
      <c r="G67" s="6">
        <v>6.9804246587558835E-2</v>
      </c>
      <c r="H67" s="7">
        <v>4.3305057015620299E-3</v>
      </c>
      <c r="I67" s="6">
        <v>0.73631900604803691</v>
      </c>
      <c r="J67" s="7">
        <v>1.0587278319031871E-2</v>
      </c>
      <c r="K67" s="6">
        <v>0.21374727204961491</v>
      </c>
      <c r="L67" s="7">
        <v>8.8594186369521637E-3</v>
      </c>
      <c r="M67" s="6">
        <v>68.33220787203318</v>
      </c>
      <c r="N67" s="7">
        <v>9.9532889456091738</v>
      </c>
    </row>
    <row r="68" spans="1:14" ht="14.7" customHeight="1" thickBot="1" x14ac:dyDescent="0.6">
      <c r="A68" s="23" t="s">
        <v>17</v>
      </c>
      <c r="B68" s="19" t="s">
        <v>15</v>
      </c>
      <c r="C68" s="12">
        <v>2.7549655055806761E-2</v>
      </c>
      <c r="D68" s="9">
        <v>1.9240998019039201E-3</v>
      </c>
      <c r="E68" s="12">
        <v>16.3614743706468</v>
      </c>
      <c r="F68" s="9">
        <v>0.27507517185618979</v>
      </c>
      <c r="G68" s="12">
        <v>6.3776257226373215E-2</v>
      </c>
      <c r="H68" s="9">
        <v>3.5065270690201821E-3</v>
      </c>
      <c r="I68" s="12">
        <v>0.7248196628030168</v>
      </c>
      <c r="J68" s="9">
        <v>8.4381564402592202E-3</v>
      </c>
      <c r="K68" s="12">
        <v>0.21336127681231801</v>
      </c>
      <c r="L68" s="9">
        <v>8.305253451120452E-3</v>
      </c>
      <c r="M68" s="12">
        <v>48.931014640402211</v>
      </c>
      <c r="N68" s="9">
        <v>8.9783400231989621</v>
      </c>
    </row>
    <row r="71" spans="1:14" ht="14.7" customHeight="1" x14ac:dyDescent="0.55000000000000004"/>
  </sheetData>
  <conditionalFormatting sqref="C2:C8">
    <cfRule type="expression" dxfId="71" priority="189">
      <formula>C2=MAX(C$2:C$8)</formula>
    </cfRule>
    <cfRule type="expression" dxfId="70" priority="190">
      <formula>"E13=MAX(E$13:E$19)"</formula>
    </cfRule>
  </conditionalFormatting>
  <conditionalFormatting sqref="C2:C12">
    <cfRule type="expression" dxfId="69" priority="873">
      <formula>#REF!=MIN(INDIRECT("E"&amp;(INT((RIGA(#REF!)-1)/7)*7+1)&amp;":E"&amp;(INT((RIGA(#REF!)-1)/7)*7+7)))</formula>
    </cfRule>
  </conditionalFormatting>
  <conditionalFormatting sqref="C2:C15">
    <cfRule type="expression" dxfId="68" priority="197">
      <formula>C2=MIN(C$2:C$8)</formula>
    </cfRule>
    <cfRule type="expression" dxfId="67" priority="282">
      <formula>"E1=MIN($E$13:$E$19)"</formula>
    </cfRule>
    <cfRule type="expression" dxfId="66" priority="283">
      <formula>"E13=MIN($E$13:$E$19)"</formula>
    </cfRule>
  </conditionalFormatting>
  <conditionalFormatting sqref="C2:C21 C23:C64">
    <cfRule type="expression" dxfId="65" priority="177">
      <formula>C2 = MAX(OFFSET($C$2, 7*INT((ROW()-13)/7), 0, 7, 1))</formula>
    </cfRule>
    <cfRule type="expression" dxfId="64" priority="192">
      <formula>C2=MIN(OFFSET(C$2,7*INT((RIGA()-13)/7),0,7,1))</formula>
    </cfRule>
  </conditionalFormatting>
  <conditionalFormatting sqref="C2:C21 E2:E21 G2:G21 I2:I21 C23:C64 E23:E64 G23:G64 I23:I64">
    <cfRule type="expression" dxfId="63" priority="874">
      <formula>XDE2=MIN(OFFSET(XDE$2,7*INT((RIGA()-13)/7),0,7,1))</formula>
    </cfRule>
  </conditionalFormatting>
  <conditionalFormatting sqref="C2:C68">
    <cfRule type="expression" dxfId="62" priority="58">
      <formula>AND(ISNUMBER(C2), C2 = MIN(INDIRECT(ADDRESS(13 + 7*INT((RIGA()-13)/7), COLONNA()) &amp;":" &amp; ADDRESS(13 + 7*INT((RIGA()-13)/7) + 6, COLONNA()))))</formula>
    </cfRule>
    <cfRule type="expression" dxfId="61" priority="59">
      <formula>AND(    ISNUMBER(C2),    C2 = MIN(             INDIRECT(                ADDRESS(13 + 7*INT((RIGA()-13)/7), COLONNA()) &amp;                ":" &amp;                ADDRESS(13 + 7*INT((RIGA()-13)/7) + 6, COLONNA())             )         ) )</formula>
    </cfRule>
    <cfRule type="cellIs" dxfId="60" priority="80" operator="between">
      <formula>0.018</formula>
      <formula>0.0000001</formula>
    </cfRule>
    <cfRule type="cellIs" dxfId="59" priority="81" operator="between">
      <formula>0.129</formula>
      <formula>0.018</formula>
    </cfRule>
    <cfRule type="cellIs" dxfId="58" priority="82" operator="between">
      <formula>10</formula>
      <formula>0.13</formula>
    </cfRule>
  </conditionalFormatting>
  <conditionalFormatting sqref="C9:C15">
    <cfRule type="expression" dxfId="57" priority="181">
      <formula>C9=MAX(C$9:C$15)</formula>
    </cfRule>
    <cfRule type="expression" dxfId="56" priority="182">
      <formula>C9=MIN(C$9:C$15)</formula>
    </cfRule>
    <cfRule type="expression" dxfId="55" priority="183">
      <formula>C2=MIN(C$9:C$15)</formula>
    </cfRule>
    <cfRule type="expression" dxfId="54" priority="185">
      <formula>C2=MAX(C$9:C$15)</formula>
    </cfRule>
  </conditionalFormatting>
  <conditionalFormatting sqref="C13:C68">
    <cfRule type="expression" dxfId="53" priority="60">
      <formula>$C1=MIN(INDIRECT("E"&amp;(INT((RIGA($C1)-1)/7)*7+1)&amp;":E"&amp;(INT((RIGA($C1)-1)/7)*7+7)))</formula>
    </cfRule>
  </conditionalFormatting>
  <conditionalFormatting sqref="C16:C21">
    <cfRule type="expression" dxfId="52" priority="178">
      <formula>C16=MAX(C$16:C$22)</formula>
    </cfRule>
    <cfRule type="expression" dxfId="51" priority="179">
      <formula>C16=MIN(C$16:C$22)</formula>
    </cfRule>
  </conditionalFormatting>
  <conditionalFormatting sqref="C22 E22 G22 I22">
    <cfRule type="expression" dxfId="50" priority="57">
      <formula>XDL22=MIN(OFFSET(XDL$13,7*INT((RIGA()-13)/7),0,7,1))</formula>
    </cfRule>
  </conditionalFormatting>
  <conditionalFormatting sqref="C22">
    <cfRule type="expression" dxfId="49" priority="53">
      <formula>C22 = MAX(OFFSET($C$13, 7*INT((ROW()-13)/7), 0, 7, 1))</formula>
    </cfRule>
    <cfRule type="expression" dxfId="48" priority="54">
      <formula>C22=MAX(C$27:C$33)</formula>
    </cfRule>
    <cfRule type="expression" dxfId="47" priority="55">
      <formula>C22=MIN(C$27:C$33)</formula>
    </cfRule>
    <cfRule type="expression" dxfId="46" priority="56">
      <formula>C22=MIN(OFFSET(C$13,7*INT((RIGA()-13)/7),0,7,1))</formula>
    </cfRule>
  </conditionalFormatting>
  <conditionalFormatting sqref="C23:C64">
    <cfRule type="expression" dxfId="45" priority="180">
      <formula>C23 = MIN(OFFSET($C$2, 7*INT((ROW()-13)/7), 0, 7, 1))</formula>
    </cfRule>
  </conditionalFormatting>
  <conditionalFormatting sqref="C65:C68">
    <cfRule type="expression" dxfId="44" priority="175">
      <formula>C65=MAX(C$65:C$68)</formula>
    </cfRule>
    <cfRule type="expression" dxfId="43" priority="176">
      <formula>C65=MIN(C$65:C$68)</formula>
    </cfRule>
  </conditionalFormatting>
  <conditionalFormatting sqref="E2:E21 E23:E64">
    <cfRule type="expression" dxfId="42" priority="173">
      <formula>E2 = MAX(OFFSET($E$2, 7*INT((ROW()-13)/7), 0, 7, 1))</formula>
    </cfRule>
    <cfRule type="expression" dxfId="41" priority="174">
      <formula>E2 = MIN(OFFSET($E$2, 7*INT((ROW()-13)/7), 0, 7, 1))</formula>
    </cfRule>
  </conditionalFormatting>
  <conditionalFormatting sqref="E2:E68">
    <cfRule type="cellIs" dxfId="40" priority="61" operator="between">
      <formula>-100</formula>
      <formula>25</formula>
    </cfRule>
    <cfRule type="cellIs" dxfId="39" priority="76" operator="between">
      <formula>35</formula>
      <formula>100</formula>
    </cfRule>
    <cfRule type="cellIs" dxfId="38" priority="77" operator="between">
      <formula>26</formula>
      <formula>35</formula>
    </cfRule>
    <cfRule type="cellIs" dxfId="37" priority="78" operator="between">
      <formula>26</formula>
      <formula>30</formula>
    </cfRule>
    <cfRule type="cellIs" dxfId="36" priority="79" operator="between">
      <formula>0</formula>
      <formula>25</formula>
    </cfRule>
  </conditionalFormatting>
  <conditionalFormatting sqref="E22">
    <cfRule type="expression" dxfId="35" priority="51">
      <formula>E22 = MAX(OFFSET($E$13, 7*INT((ROW()-13)/7), 0, 7, 1))</formula>
    </cfRule>
    <cfRule type="expression" dxfId="34" priority="52">
      <formula>E22 = MIN(OFFSET($E$13, 7*INT((ROW()-13)/7), 0, 7, 1))</formula>
    </cfRule>
  </conditionalFormatting>
  <conditionalFormatting sqref="E65:E68">
    <cfRule type="expression" dxfId="33" priority="171">
      <formula>E65=MAX(E$65:E$68)</formula>
    </cfRule>
    <cfRule type="expression" dxfId="32" priority="172">
      <formula>E65=MIN(E$65:E$68)</formula>
    </cfRule>
  </conditionalFormatting>
  <conditionalFormatting sqref="G2:G21 G23:G68">
    <cfRule type="expression" dxfId="31" priority="169">
      <formula>G2 = MAX(OFFSET($G$2, 7*INT((ROW()-13)/7), 0, 7, 1))</formula>
    </cfRule>
    <cfRule type="expression" dxfId="30" priority="170">
      <formula>G2 = MIN(OFFSET($G$2, 7*INT((ROW()-13)/7), 0, 7, 1))</formula>
    </cfRule>
  </conditionalFormatting>
  <conditionalFormatting sqref="G2:G68">
    <cfRule type="cellIs" dxfId="29" priority="68" operator="between">
      <formula>0.5</formula>
      <formula>0.8</formula>
    </cfRule>
    <cfRule type="cellIs" dxfId="28" priority="69" operator="between">
      <formula>-5</formula>
      <formula>0.4999999999999</formula>
    </cfRule>
  </conditionalFormatting>
  <conditionalFormatting sqref="G22">
    <cfRule type="expression" dxfId="27" priority="49">
      <formula>G22 = MAX(OFFSET($G$13, 7*INT((ROW()-13)/7), 0, 7, 1))</formula>
    </cfRule>
    <cfRule type="expression" dxfId="26" priority="50">
      <formula>G22 = MIN(OFFSET($G$13, 7*INT((ROW()-13)/7), 0, 7, 1))</formula>
    </cfRule>
  </conditionalFormatting>
  <conditionalFormatting sqref="I2:I21 I23:I68">
    <cfRule type="expression" dxfId="25" priority="166">
      <formula>I2 = MAX(OFFSET($I$2, 7*INT((ROW()-13)/7), 0, 7, 1))</formula>
    </cfRule>
    <cfRule type="expression" priority="167">
      <formula>I2 = MAX(OFFSET($I$2, 7*INT((ROW()-13)/7), 0, 7, 1))</formula>
    </cfRule>
    <cfRule type="expression" dxfId="24" priority="168">
      <formula>I2 = MIN(OFFSET($I$2, 7*INT((ROW()-13)/7), 0, 7, 1))</formula>
    </cfRule>
  </conditionalFormatting>
  <conditionalFormatting sqref="I2:I68">
    <cfRule type="cellIs" dxfId="23" priority="70" operator="between">
      <formula>0.8</formula>
      <formula>0.95</formula>
    </cfRule>
    <cfRule type="cellIs" dxfId="22" priority="71" operator="between">
      <formula>0.0000000001</formula>
      <formula>0.8</formula>
    </cfRule>
    <cfRule type="cellIs" dxfId="21" priority="72" operator="between">
      <formula>0.95</formula>
      <formula>2</formula>
    </cfRule>
    <cfRule type="cellIs" dxfId="20" priority="73" operator="between">
      <formula>0.81</formula>
      <formula>0.949999999</formula>
    </cfRule>
    <cfRule type="cellIs" priority="74" operator="between">
      <formula>0.81</formula>
      <formula>0.95</formula>
    </cfRule>
    <cfRule type="cellIs" dxfId="19" priority="75" operator="between">
      <formula>0.2</formula>
      <formula>0.8</formula>
    </cfRule>
  </conditionalFormatting>
  <conditionalFormatting sqref="I22">
    <cfRule type="expression" dxfId="18" priority="46">
      <formula>I22 = MAX(OFFSET($I$13, 7*INT((ROW()-13)/7), 0, 7, 1))</formula>
    </cfRule>
    <cfRule type="expression" priority="47">
      <formula>I22 = MAX(OFFSET($I$13, 7*INT((ROW()-13)/7), 0, 7, 1))</formula>
    </cfRule>
    <cfRule type="expression" dxfId="17" priority="48">
      <formula>I22 = MIN(OFFSET($I$13, 7*INT((ROW()-13)/7), 0, 7, 1))</formula>
    </cfRule>
  </conditionalFormatting>
  <conditionalFormatting sqref="K2:K21 K23:K68">
    <cfRule type="expression" dxfId="16" priority="164">
      <formula>K2 = MAX(OFFSET($K$2, 7*INT((ROW()-13)/7), 0, 7, 1))</formula>
    </cfRule>
    <cfRule type="expression" dxfId="15" priority="165">
      <formula>K2 = MIN(OFFSET($K$2, 7*INT((ROW()-13)/7), 0, 7, 1))</formula>
    </cfRule>
  </conditionalFormatting>
  <conditionalFormatting sqref="K2:K21 K23:K64">
    <cfRule type="expression" dxfId="14" priority="193">
      <formula>A2=MIN(OFFSET(A$2,7*INT((RIGA()-13)/7),0,7,1))</formula>
    </cfRule>
  </conditionalFormatting>
  <conditionalFormatting sqref="K2:K68">
    <cfRule type="cellIs" dxfId="13" priority="65" operator="between">
      <formula>0.09</formula>
      <formula>0.000000000001</formula>
    </cfRule>
    <cfRule type="cellIs" dxfId="12" priority="66" operator="between">
      <formula>0.29</formula>
      <formula>0.1</formula>
    </cfRule>
    <cfRule type="cellIs" dxfId="11" priority="67" operator="between">
      <formula>5</formula>
      <formula>0.3</formula>
    </cfRule>
  </conditionalFormatting>
  <conditionalFormatting sqref="K22">
    <cfRule type="expression" dxfId="10" priority="44">
      <formula>K22 = MAX(OFFSET($K$13, 7*INT((ROW()-13)/7), 0, 7, 1))</formula>
    </cfRule>
    <cfRule type="expression" dxfId="9" priority="45">
      <formula>K22 = MIN(OFFSET($K$13, 7*INT((ROW()-13)/7), 0, 7, 1))</formula>
    </cfRule>
  </conditionalFormatting>
  <conditionalFormatting sqref="M2:M21 M23:M68">
    <cfRule type="expression" dxfId="8" priority="162">
      <formula>M2 = MAX(OFFSET($M$2, 7*INT((ROW()-13)/7), 0, 7, 1))</formula>
    </cfRule>
    <cfRule type="expression" dxfId="7" priority="163">
      <formula>M2 = MIN(OFFSET($M$2, 7*INT((ROW()-13)/7), 0, 7, 1))</formula>
    </cfRule>
  </conditionalFormatting>
  <conditionalFormatting sqref="M2:M68">
    <cfRule type="cellIs" dxfId="6" priority="62" operator="between">
      <formula>19.99999</formula>
      <formula>0</formula>
    </cfRule>
    <cfRule type="cellIs" dxfId="5" priority="63" operator="between">
      <formula>99.9999</formula>
      <formula>20</formula>
    </cfRule>
    <cfRule type="cellIs" dxfId="4" priority="64" operator="between">
      <formula>500</formula>
      <formula>100</formula>
    </cfRule>
  </conditionalFormatting>
  <conditionalFormatting sqref="M22">
    <cfRule type="expression" dxfId="3" priority="42">
      <formula>M22 = MAX(OFFSET($M$13, 7*INT((ROW()-13)/7), 0, 7, 1))</formula>
    </cfRule>
    <cfRule type="expression" dxfId="2" priority="43">
      <formula>M22 = MIN(OFFSET($M$13, 7*INT((ROW()-13)/7), 0, 7, 1))</formula>
    </cfRule>
  </conditionalFormatting>
  <conditionalFormatting sqref="M2:M64">
    <cfRule type="expression" dxfId="1" priority="877">
      <formula>#REF!=MIN(OFFSET(#REF!,7*INT((RIGA()-13)/7),0,7,1))</formula>
    </cfRule>
  </conditionalFormatting>
  <conditionalFormatting sqref="K22">
    <cfRule type="expression" dxfId="0" priority="878">
      <formula>A22=MIN(OFFSET(A$13,7*INT((RIGA()-13)/7),0,7,1))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Pesci Alessandro</dc:creator>
  <cp:lastModifiedBy>Pesci Alessandro</cp:lastModifiedBy>
  <dcterms:created xsi:type="dcterms:W3CDTF">2025-11-21T08:30:31Z</dcterms:created>
  <dcterms:modified xsi:type="dcterms:W3CDTF">2026-02-22T10:49:39Z</dcterms:modified>
</cp:coreProperties>
</file>